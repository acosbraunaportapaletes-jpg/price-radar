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📘 Instruçõ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correntes" sheetId="3" state="visible" r:id="rId3"/>
    <sheet xmlns:r="http://schemas.openxmlformats.org/officeDocument/2006/relationships" name="Planos" sheetId="4" state="visible" r:id="rId4"/>
    <sheet xmlns:r="http://schemas.openxmlformats.org/officeDocument/2006/relationships" name="Histórico" sheetId="5" state="visible" r:id="rId5"/>
    <sheet xmlns:r="http://schemas.openxmlformats.org/officeDocument/2006/relationships" name="De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d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PriceRadar</t>
        </is>
      </c>
    </row>
    <row r="3">
      <c r="A3" t="inlineStr">
        <is>
          <t>PriceRadar — Inteligência Competitiva de Preços para SaaS</t>
        </is>
      </c>
    </row>
    <row r="4">
      <c r="A4" t="inlineStr"/>
    </row>
    <row r="5">
      <c r="A5" t="inlineStr">
        <is>
          <t>1. CONCORRENTES: Cadastre seus concorrentes diretos com preços atuais. Atualize a coluna 'Preço Atual' sempre que detectar mudanças e mova o valor antigo para 'Preço Anterior'. A variação é calculada automaticamente.</t>
        </is>
      </c>
    </row>
    <row r="6">
      <c r="A6" t="inlineStr"/>
    </row>
    <row r="7">
      <c r="A7" t="inlineStr">
        <is>
          <t>2. PLANOS: Mapeie todos os planos/tiers de cada concorrente. Registre preço mensal, anual, features e limitações. A coluna 'Posição vs Nosso Preço' compara automaticamente (ajuste os valores de referência nas fórmulas para refletir seu preço).</t>
        </is>
      </c>
    </row>
    <row r="8">
      <c r="A8" t="inlineStr"/>
    </row>
    <row r="9">
      <c r="A9" t="inlineStr">
        <is>
          <t>3. HISTÓRICO: Toda vez que um concorrente mudar preço, feature ou packaging, registre aqui com data. Isso cria sua timeline de inteligência competitiva. A coluna 'Mudança Recente?' marca automaticamente alterações dos últimos 30 dias.</t>
        </is>
      </c>
    </row>
    <row r="10">
      <c r="A10" t="inlineStr"/>
    </row>
    <row r="11">
      <c r="A11" t="inlineStr">
        <is>
          <t>4. DEALS: Registre deals perdidos, em risco ou ganhos onde concorrentes foram citados. Vincule ao concorrente para calcular automaticamente a diferença de preço. Use a coluna 'Aprendizado' para alimentar seu playbook de vendas.</t>
        </is>
      </c>
    </row>
    <row r="12">
      <c r="A12" t="inlineStr"/>
    </row>
    <row r="13">
      <c r="A13" t="inlineStr">
        <is>
          <t>5. DASHBOARD: Visão consolidada com métricas-chave. Atualiza automaticamente com dados das outras abas.</t>
        </is>
      </c>
    </row>
    <row r="14">
      <c r="A14" t="inlineStr"/>
    </row>
    <row r="15">
      <c r="A15" t="inlineStr">
        <is>
          <t>Rotina sugerida: Verifique páginas de preço dos concorrentes semanalmente (segundas). Atualize a aba Concorrentes e registre mudanças no Histórico. Revise Deals perdidos por preço mensalmente para identificar padrões. Compartilhe o Dashboard com o time de vendas antes de reuniões de pipeline.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Métrica</t>
        </is>
      </c>
      <c r="B1" s="2" t="inlineStr">
        <is>
          <t>Valor</t>
        </is>
      </c>
      <c r="C1" s="2" t="inlineStr">
        <is>
          <t>Variação</t>
        </is>
      </c>
      <c r="D1" s="2" t="inlineStr">
        <is>
          <t>Período</t>
        </is>
      </c>
      <c r="E1" s="2" t="inlineStr">
        <is>
          <t>Status</t>
        </is>
      </c>
    </row>
    <row r="2">
      <c r="A2" t="inlineStr">
        <is>
          <t>Concorrentes monitorados</t>
        </is>
      </c>
      <c r="B2">
        <f>COUNTA(Concorrentes!A3:A20)</f>
        <v/>
      </c>
      <c r="C2" t="inlineStr"/>
      <c r="D2" t="inlineStr">
        <is>
          <t>Abr/2026</t>
        </is>
      </c>
      <c r="E2" t="inlineStr">
        <is>
          <t>✅</t>
        </is>
      </c>
    </row>
    <row r="3">
      <c r="A3" t="inlineStr">
        <is>
          <t>Alterações de preço detectadas (mês)</t>
        </is>
      </c>
      <c r="B3">
        <f>COUNTIF(Histórico!H3:H100,"Sim")</f>
        <v/>
      </c>
      <c r="C3" t="inlineStr">
        <is>
          <t>+2</t>
        </is>
      </c>
      <c r="D3" t="inlineStr">
        <is>
          <t>Abr/2026</t>
        </is>
      </c>
      <c r="E3" t="inlineStr">
        <is>
          <t>🔴</t>
        </is>
      </c>
    </row>
    <row r="4">
      <c r="A4" t="inlineStr">
        <is>
          <t>Maior aumento detectado</t>
        </is>
      </c>
      <c r="B4" t="inlineStr">
        <is>
          <t>+18%</t>
        </is>
      </c>
      <c r="C4" t="inlineStr"/>
      <c r="D4" t="inlineStr">
        <is>
          <t>Abr/2026</t>
        </is>
      </c>
      <c r="E4" t="inlineStr">
        <is>
          <t>⚠️</t>
        </is>
      </c>
    </row>
    <row r="5">
      <c r="A5" t="inlineStr">
        <is>
          <t>Maior redução detectada</t>
        </is>
      </c>
      <c r="B5" t="inlineStr">
        <is>
          <t>-12%</t>
        </is>
      </c>
      <c r="C5" t="inlineStr"/>
      <c r="D5" t="inlineStr">
        <is>
          <t>Abr/2026</t>
        </is>
      </c>
      <c r="E5" t="inlineStr">
        <is>
          <t>⚠️</t>
        </is>
      </c>
    </row>
    <row r="6">
      <c r="A6" t="inlineStr">
        <is>
          <t>Seu posicionamento médio vs mercado</t>
        </is>
      </c>
      <c r="B6" t="inlineStr">
        <is>
          <t>-7%</t>
        </is>
      </c>
      <c r="C6" t="inlineStr">
        <is>
          <t>+3pp</t>
        </is>
      </c>
      <c r="D6" t="inlineStr">
        <is>
          <t>Abr/2026</t>
        </is>
      </c>
      <c r="E6" t="inlineStr">
        <is>
          <t>✅</t>
        </is>
      </c>
    </row>
    <row r="7">
      <c r="A7" t="inlineStr">
        <is>
          <t>Deals perdidos por preço (mês)</t>
        </is>
      </c>
      <c r="B7">
        <f>SUMPRODUCT((Deals!F3:F50="Preço")*(Deals!G3:G50))</f>
        <v/>
      </c>
      <c r="C7" t="inlineStr">
        <is>
          <t>+1</t>
        </is>
      </c>
      <c r="D7" t="inlineStr">
        <is>
          <t>Abr/2026</t>
        </is>
      </c>
      <c r="E7" t="inlineStr">
        <is>
          <t>🔴</t>
        </is>
      </c>
    </row>
    <row r="8">
      <c r="A8" t="inlineStr">
        <is>
          <t>Economia potencial c/ reposicionamento</t>
        </is>
      </c>
      <c r="B8" t="inlineStr">
        <is>
          <t>R$ 28.500</t>
        </is>
      </c>
      <c r="C8" t="inlineStr"/>
      <c r="D8" t="inlineStr">
        <is>
          <t>Abr/2026</t>
        </is>
      </c>
      <c r="E8" t="inlineStr"/>
    </row>
    <row r="9">
      <c r="A9" t="inlineStr">
        <is>
          <t>Última atualização de dados</t>
        </is>
      </c>
      <c r="B9">
        <f>COUNTA(Planos!A3:A50)</f>
        <v/>
      </c>
      <c r="C9" t="inlineStr"/>
      <c r="D9" t="inlineStr"/>
      <c r="E9" t="inlineStr">
        <is>
          <t>✅</t>
        </is>
      </c>
    </row>
    <row r="10">
      <c r="A10" t="inlineStr">
        <is>
          <t>Planos concorrentes mapeados</t>
        </is>
      </c>
      <c r="B10">
        <f>ROUND(AVERAGE(Concorrentes!H3:H20),0)</f>
        <v/>
      </c>
      <c r="C10" t="inlineStr">
        <is>
          <t>+3</t>
        </is>
      </c>
      <c r="D10" t="inlineStr">
        <is>
          <t>Abr/2026</t>
        </is>
      </c>
      <c r="E10" t="inlineStr"/>
    </row>
    <row r="11">
      <c r="A11" t="inlineStr">
        <is>
          <t>Score competitividade (0-100)</t>
        </is>
      </c>
      <c r="B11" t="inlineStr">
        <is>
          <t>72</t>
        </is>
      </c>
      <c r="C11" t="inlineStr">
        <is>
          <t>+5</t>
        </is>
      </c>
      <c r="D11" t="inlineStr">
        <is>
          <t>Abr/2026</t>
        </is>
      </c>
      <c r="E11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Concorrente</t>
        </is>
      </c>
      <c r="B1" s="2" t="inlineStr">
        <is>
          <t>Website</t>
        </is>
      </c>
      <c r="C1" s="2" t="inlineStr">
        <is>
          <t>Segmento</t>
        </is>
      </c>
      <c r="D1" s="2" t="inlineStr">
        <is>
          <t>Plano Monitorado</t>
        </is>
      </c>
      <c r="E1" s="2" t="inlineStr">
        <is>
          <t>Preço Atual (R$/mês)</t>
        </is>
      </c>
      <c r="F1" s="2" t="inlineStr">
        <is>
          <t>Preço Anterior (R$/mês)</t>
        </is>
      </c>
      <c r="G1" s="2" t="inlineStr">
        <is>
          <t>Variação %</t>
        </is>
      </c>
      <c r="H1" s="2" t="inlineStr">
        <is>
          <t>Score Competitividade (0-100)</t>
        </is>
      </c>
      <c r="I1" s="2" t="inlineStr">
        <is>
          <t>Última Verificação</t>
        </is>
      </c>
      <c r="J1" s="2" t="inlineStr">
        <is>
          <t>Fonte do Dado</t>
        </is>
      </c>
      <c r="K1" s="2" t="inlineStr">
        <is>
          <t>Notas</t>
        </is>
      </c>
    </row>
    <row r="2">
      <c r="A2" t="inlineStr">
        <is>
          <t>RivalCRM</t>
        </is>
      </c>
      <c r="B2" t="inlineStr">
        <is>
          <t>rivalcrm.com.br</t>
        </is>
      </c>
      <c r="C2" t="inlineStr">
        <is>
          <t>CRM</t>
        </is>
      </c>
      <c r="D2" t="inlineStr">
        <is>
          <t>Pro</t>
        </is>
      </c>
      <c r="E2" t="inlineStr">
        <is>
          <t>299</t>
        </is>
      </c>
      <c r="F2" t="inlineStr">
        <is>
          <t>249</t>
        </is>
      </c>
      <c r="G2" t="inlineStr"/>
      <c r="H2" t="inlineStr">
        <is>
          <t>68</t>
        </is>
      </c>
      <c r="I2" t="inlineStr">
        <is>
          <t>28/04/2026</t>
        </is>
      </c>
      <c r="J2" t="inlineStr">
        <is>
          <t>Página de preços</t>
        </is>
      </c>
      <c r="K2" t="inlineStr">
        <is>
          <t>Subiu em março</t>
        </is>
      </c>
    </row>
    <row r="3">
      <c r="A3" t="inlineStr">
        <is>
          <t>FlowDesk</t>
        </is>
      </c>
      <c r="B3" t="inlineStr">
        <is>
          <t>flowdesk.io</t>
        </is>
      </c>
      <c r="C3" t="inlineStr">
        <is>
          <t>Helpdesk</t>
        </is>
      </c>
      <c r="D3" t="inlineStr">
        <is>
          <t>Business</t>
        </is>
      </c>
      <c r="E3" t="inlineStr">
        <is>
          <t>189</t>
        </is>
      </c>
      <c r="F3" t="inlineStr">
        <is>
          <t>189</t>
        </is>
      </c>
      <c r="G3">
        <f>IF(F3=0,"N/A",ROUND((E3-F3)/F3*100,1)&amp;"%")</f>
        <v/>
      </c>
      <c r="H3" t="inlineStr">
        <is>
          <t>75</t>
        </is>
      </c>
      <c r="I3" t="inlineStr">
        <is>
          <t>25/04/2026</t>
        </is>
      </c>
      <c r="J3" t="inlineStr">
        <is>
          <t>Página de preços</t>
        </is>
      </c>
      <c r="K3" t="inlineStr">
        <is>
          <t>Estável há 6 meses</t>
        </is>
      </c>
    </row>
    <row r="4">
      <c r="A4" t="inlineStr">
        <is>
          <t>MetricaPro</t>
        </is>
      </c>
      <c r="B4" t="inlineStr">
        <is>
          <t>metricapro.com</t>
        </is>
      </c>
      <c r="C4" t="inlineStr">
        <is>
          <t>Analytics</t>
        </is>
      </c>
      <c r="D4" t="inlineStr">
        <is>
          <t>Growth</t>
        </is>
      </c>
      <c r="E4" t="inlineStr">
        <is>
          <t>449</t>
        </is>
      </c>
      <c r="F4" t="inlineStr">
        <is>
          <t>399</t>
        </is>
      </c>
      <c r="G4">
        <f>IF(F4=0,"N/A",ROUND((E4-F4)/F4*100,1)&amp;"%")</f>
        <v/>
      </c>
      <c r="H4" t="inlineStr">
        <is>
          <t>62</t>
        </is>
      </c>
      <c r="I4" t="inlineStr">
        <is>
          <t>27/04/2026</t>
        </is>
      </c>
      <c r="J4" t="inlineStr">
        <is>
          <t>Proposta comercial</t>
        </is>
      </c>
      <c r="K4" t="inlineStr">
        <is>
          <t>Novo tier Enterprise</t>
        </is>
      </c>
    </row>
    <row r="5">
      <c r="A5" t="inlineStr">
        <is>
          <t>ChatBot360</t>
        </is>
      </c>
      <c r="B5" t="inlineStr">
        <is>
          <t>chatbot360.com</t>
        </is>
      </c>
      <c r="C5" t="inlineStr">
        <is>
          <t>Chatbot</t>
        </is>
      </c>
      <c r="D5" t="inlineStr">
        <is>
          <t>Scale</t>
        </is>
      </c>
      <c r="E5" t="inlineStr">
        <is>
          <t>349</t>
        </is>
      </c>
      <c r="F5" t="inlineStr">
        <is>
          <t>349</t>
        </is>
      </c>
      <c r="G5">
        <f>IF(F5=0,"N/A",ROUND((E5-F5)/F5*100,1)&amp;"%")</f>
        <v/>
      </c>
      <c r="H5" t="inlineStr">
        <is>
          <t>80</t>
        </is>
      </c>
      <c r="I5" t="inlineStr">
        <is>
          <t>26/04/2026</t>
        </is>
      </c>
      <c r="J5" t="inlineStr">
        <is>
          <t>Página de preços</t>
        </is>
      </c>
      <c r="K5" t="inlineStr">
        <is>
          <t>Adicionou add-on IA</t>
        </is>
      </c>
    </row>
    <row r="6">
      <c r="A6" t="inlineStr">
        <is>
          <t>PipeRun</t>
        </is>
      </c>
      <c r="B6" t="inlineStr">
        <is>
          <t>piperun.com</t>
        </is>
      </c>
      <c r="C6" t="inlineStr">
        <is>
          <t>CRM</t>
        </is>
      </c>
      <c r="D6" t="inlineStr">
        <is>
          <t>Avançado</t>
        </is>
      </c>
      <c r="E6" t="inlineStr">
        <is>
          <t>259</t>
        </is>
      </c>
      <c r="F6" t="inlineStr">
        <is>
          <t>279</t>
        </is>
      </c>
      <c r="G6">
        <f>IF(F6=0,"N/A",ROUND((E6-F6)/F6*100,1)&amp;"%")</f>
        <v/>
      </c>
      <c r="H6" t="inlineStr">
        <is>
          <t>71</t>
        </is>
      </c>
      <c r="I6" t="inlineStr">
        <is>
          <t>28/04/2026</t>
        </is>
      </c>
      <c r="J6" t="inlineStr">
        <is>
          <t>Página de preços</t>
        </is>
      </c>
      <c r="K6" t="inlineStr">
        <is>
          <t>Reduziu para competir</t>
        </is>
      </c>
    </row>
    <row r="7">
      <c r="A7" t="inlineStr">
        <is>
          <t>NexTask</t>
        </is>
      </c>
      <c r="B7" t="inlineStr">
        <is>
          <t>nextask.app</t>
        </is>
      </c>
      <c r="C7" t="inlineStr">
        <is>
          <t>Gestão</t>
        </is>
      </c>
      <c r="D7" t="inlineStr">
        <is>
          <t>Team</t>
        </is>
      </c>
      <c r="E7" t="inlineStr">
        <is>
          <t>199</t>
        </is>
      </c>
      <c r="F7" t="inlineStr">
        <is>
          <t>179</t>
        </is>
      </c>
      <c r="G7">
        <f>IF(F7=0,"N/A",ROUND((E7-F7)/F7*100,1)&amp;"%")</f>
        <v/>
      </c>
      <c r="H7" t="inlineStr">
        <is>
          <t>65</t>
        </is>
      </c>
      <c r="I7" t="inlineStr">
        <is>
          <t>24/04/2026</t>
        </is>
      </c>
      <c r="J7" t="inlineStr">
        <is>
          <t>Página de preços</t>
        </is>
      </c>
      <c r="K7" t="inlineStr">
        <is>
          <t>Aumento discreto</t>
        </is>
      </c>
    </row>
    <row r="8">
      <c r="G8">
        <f>IF(F8=0,"N/A",ROUND((E8-F8)/F8*100,1)&amp;"%")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Concorrente</t>
        </is>
      </c>
      <c r="B1" s="2" t="inlineStr">
        <is>
          <t>Nome do Plano</t>
        </is>
      </c>
      <c r="C1" s="2" t="inlineStr">
        <is>
          <t>Preço Mensal (R$)</t>
        </is>
      </c>
      <c r="D1" s="2" t="inlineStr">
        <is>
          <t>Preço Anual (R$/mês)</t>
        </is>
      </c>
      <c r="E1" s="2" t="inlineStr">
        <is>
          <t>Desconto Anual %</t>
        </is>
      </c>
      <c r="F1" s="2" t="inlineStr">
        <is>
          <t>Usuários Inclusos</t>
        </is>
      </c>
      <c r="G1" s="2" t="inlineStr">
        <is>
          <t>Features-Chave</t>
        </is>
      </c>
      <c r="H1" s="2" t="inlineStr">
        <is>
          <t>Limitações</t>
        </is>
      </c>
      <c r="I1" s="2" t="inlineStr">
        <is>
          <t>Posição vs Nosso Preço</t>
        </is>
      </c>
    </row>
    <row r="2">
      <c r="A2" t="inlineStr">
        <is>
          <t>RivalCRM</t>
        </is>
      </c>
      <c r="B2" t="inlineStr">
        <is>
          <t>Starter</t>
        </is>
      </c>
      <c r="C2" t="inlineStr">
        <is>
          <t>99</t>
        </is>
      </c>
      <c r="D2" t="inlineStr">
        <is>
          <t>79</t>
        </is>
      </c>
      <c r="E2" t="inlineStr"/>
      <c r="F2" t="inlineStr">
        <is>
          <t>3</t>
        </is>
      </c>
      <c r="G2" t="inlineStr">
        <is>
          <t>CRM básico, 1 pipeline</t>
        </is>
      </c>
      <c r="H2" t="inlineStr">
        <is>
          <t>Sem automação</t>
        </is>
      </c>
      <c r="I2" t="inlineStr"/>
    </row>
    <row r="3">
      <c r="A3" t="inlineStr">
        <is>
          <t>RivalCRM</t>
        </is>
      </c>
      <c r="B3" t="inlineStr">
        <is>
          <t>Pro</t>
        </is>
      </c>
      <c r="C3" t="inlineStr">
        <is>
          <t>299</t>
        </is>
      </c>
      <c r="D3" t="inlineStr">
        <is>
          <t>239</t>
        </is>
      </c>
      <c r="E3">
        <f>IF(D3=0,"N/A",ROUND((1-D3/C3)*100,0)&amp;"%")</f>
        <v/>
      </c>
      <c r="F3" t="inlineStr">
        <is>
          <t>10</t>
        </is>
      </c>
      <c r="G3" t="inlineStr">
        <is>
          <t>Automação, relatórios, API</t>
        </is>
      </c>
      <c r="H3" t="inlineStr">
        <is>
          <t>Sem white-label</t>
        </is>
      </c>
      <c r="I3">
        <f>IF(C3=0,"N/A",IF(C3&gt;250,"Acima",IF(C3&lt;200,"Abaixo","Similar")))</f>
        <v/>
      </c>
    </row>
    <row r="4">
      <c r="A4" t="inlineStr">
        <is>
          <t>RivalCRM</t>
        </is>
      </c>
      <c r="B4" t="inlineStr">
        <is>
          <t>Enterprise</t>
        </is>
      </c>
      <c r="C4" t="inlineStr">
        <is>
          <t>699</t>
        </is>
      </c>
      <c r="D4" t="inlineStr">
        <is>
          <t>559</t>
        </is>
      </c>
      <c r="E4">
        <f>IF(D4=0,"N/A",ROUND((1-D4/C4)*100,0)&amp;"%")</f>
        <v/>
      </c>
      <c r="F4" t="inlineStr">
        <is>
          <t>Ilimitado</t>
        </is>
      </c>
      <c r="G4" t="inlineStr">
        <is>
          <t>Tudo + suporte dedicado</t>
        </is>
      </c>
      <c r="H4" t="inlineStr">
        <is>
          <t>Nenhuma</t>
        </is>
      </c>
      <c r="I4">
        <f>IF(C4=0,"N/A",IF(C4&gt;250,"Acima",IF(C4&lt;200,"Abaixo","Similar")))</f>
        <v/>
      </c>
    </row>
    <row r="5">
      <c r="A5" t="inlineStr">
        <is>
          <t>FlowDesk</t>
        </is>
      </c>
      <c r="B5" t="inlineStr">
        <is>
          <t>Free</t>
        </is>
      </c>
      <c r="C5" t="inlineStr">
        <is>
          <t>0</t>
        </is>
      </c>
      <c r="D5" t="inlineStr">
        <is>
          <t>0</t>
        </is>
      </c>
      <c r="E5">
        <f>IF(D5=0,"N/A",ROUND((1-D5/C5)*100,0)&amp;"%")</f>
        <v/>
      </c>
      <c r="F5" t="inlineStr">
        <is>
          <t>1</t>
        </is>
      </c>
      <c r="G5" t="inlineStr">
        <is>
          <t>Tickets básicos</t>
        </is>
      </c>
      <c r="H5" t="inlineStr">
        <is>
          <t>100 tickets/mês</t>
        </is>
      </c>
      <c r="I5">
        <f>IF(C5=0,"N/A",IF(C5&gt;250,"Acima",IF(C5&lt;200,"Abaixo","Similar")))</f>
        <v/>
      </c>
    </row>
    <row r="6">
      <c r="A6" t="inlineStr">
        <is>
          <t>FlowDesk</t>
        </is>
      </c>
      <c r="B6" t="inlineStr">
        <is>
          <t>Business</t>
        </is>
      </c>
      <c r="C6" t="inlineStr">
        <is>
          <t>189</t>
        </is>
      </c>
      <c r="D6" t="inlineStr">
        <is>
          <t>149</t>
        </is>
      </c>
      <c r="E6">
        <f>"N/A"</f>
        <v/>
      </c>
      <c r="F6" t="inlineStr">
        <is>
          <t>5</t>
        </is>
      </c>
      <c r="G6" t="inlineStr">
        <is>
          <t>SLA, automação, chat</t>
        </is>
      </c>
      <c r="H6" t="inlineStr">
        <is>
          <t>Sem base conhecimento</t>
        </is>
      </c>
      <c r="I6">
        <f>"Abaixo"</f>
        <v/>
      </c>
    </row>
    <row r="7">
      <c r="A7" t="inlineStr">
        <is>
          <t>FlowDesk</t>
        </is>
      </c>
      <c r="B7" t="inlineStr">
        <is>
          <t>Enterprise</t>
        </is>
      </c>
      <c r="C7" t="inlineStr">
        <is>
          <t>489</t>
        </is>
      </c>
      <c r="D7" t="inlineStr">
        <is>
          <t>389</t>
        </is>
      </c>
      <c r="E7">
        <f>IF(D7=0,"N/A",ROUND((1-D7/C7)*100,0)&amp;"%")</f>
        <v/>
      </c>
      <c r="F7" t="inlineStr">
        <is>
          <t>20</t>
        </is>
      </c>
      <c r="G7" t="inlineStr">
        <is>
          <t>Tudo + SAML + SLA custom</t>
        </is>
      </c>
      <c r="H7" t="inlineStr">
        <is>
          <t>Nenhuma</t>
        </is>
      </c>
      <c r="I7">
        <f>IF(C7=0,"N/A",IF(C7&gt;250,"Acima",IF(C7&lt;200,"Abaixo","Similar")))</f>
        <v/>
      </c>
    </row>
    <row r="8">
      <c r="A8" t="inlineStr">
        <is>
          <t>MetricaPro</t>
        </is>
      </c>
      <c r="B8" t="inlineStr">
        <is>
          <t>Starter</t>
        </is>
      </c>
      <c r="C8" t="inlineStr">
        <is>
          <t>149</t>
        </is>
      </c>
      <c r="D8" t="inlineStr">
        <is>
          <t>119</t>
        </is>
      </c>
      <c r="E8">
        <f>IF(D8=0,"N/A",ROUND((1-D8/C8)*100,0)&amp;"%")</f>
        <v/>
      </c>
      <c r="F8" t="inlineStr">
        <is>
          <t>2</t>
        </is>
      </c>
      <c r="G8" t="inlineStr">
        <is>
          <t>Dashboards, 3 integrações</t>
        </is>
      </c>
      <c r="H8" t="inlineStr">
        <is>
          <t>Dados 30 dias</t>
        </is>
      </c>
      <c r="I8">
        <f>IF(C8=0,"N/A",IF(C8&gt;250,"Acima",IF(C8&lt;200,"Abaixo","Similar")))</f>
        <v/>
      </c>
    </row>
    <row r="9">
      <c r="A9" t="inlineStr">
        <is>
          <t>MetricaPro</t>
        </is>
      </c>
      <c r="B9" t="inlineStr">
        <is>
          <t>Growth</t>
        </is>
      </c>
      <c r="C9" t="inlineStr">
        <is>
          <t>449</t>
        </is>
      </c>
      <c r="D9" t="inlineStr">
        <is>
          <t>359</t>
        </is>
      </c>
      <c r="E9">
        <f>IF(D9=0,"N/A",ROUND((1-D9/C9)*100,0)&amp;"%")</f>
        <v/>
      </c>
      <c r="F9" t="inlineStr">
        <is>
          <t>10</t>
        </is>
      </c>
      <c r="G9" t="inlineStr">
        <is>
          <t>Tudo + cohorts + export</t>
        </is>
      </c>
      <c r="H9" t="inlineStr">
        <is>
          <t>Sem API</t>
        </is>
      </c>
      <c r="I9" t="inlineStr"/>
    </row>
    <row r="10">
      <c r="A10" t="inlineStr">
        <is>
          <t>ChatBot360</t>
        </is>
      </c>
      <c r="B10" t="inlineStr">
        <is>
          <t>Starter</t>
        </is>
      </c>
      <c r="C10" t="inlineStr">
        <is>
          <t>129</t>
        </is>
      </c>
      <c r="D10" t="inlineStr">
        <is>
          <t>99</t>
        </is>
      </c>
      <c r="E10">
        <f>IF(D10=0,"N/A",ROUND((1-D10/C10)*100,0)&amp;"%")</f>
        <v/>
      </c>
      <c r="F10" t="inlineStr">
        <is>
          <t>1</t>
        </is>
      </c>
      <c r="G10" t="inlineStr">
        <is>
          <t>1 bot, 500 conversas/mês</t>
        </is>
      </c>
      <c r="H10" t="inlineStr">
        <is>
          <t>Sem IA</t>
        </is>
      </c>
      <c r="I10" t="inlineStr"/>
    </row>
    <row r="11">
      <c r="A11" t="inlineStr">
        <is>
          <t>ChatBot360</t>
        </is>
      </c>
      <c r="B11" t="inlineStr">
        <is>
          <t>Scale</t>
        </is>
      </c>
      <c r="C11" t="inlineStr">
        <is>
          <t>349</t>
        </is>
      </c>
      <c r="D11" t="inlineStr">
        <is>
          <t>279</t>
        </is>
      </c>
      <c r="E11">
        <f>IF(D11=0,"N/A",ROUND((1-D11/C11)*100,0)&amp;"%")</f>
        <v/>
      </c>
      <c r="F11" t="inlineStr">
        <is>
          <t>5</t>
        </is>
      </c>
      <c r="G11" t="inlineStr">
        <is>
          <t>Bots ilimitados, IA, API</t>
        </is>
      </c>
      <c r="H11" t="inlineStr">
        <is>
          <t>10k conversas/mês</t>
        </is>
      </c>
      <c r="I11" t="inlineStr"/>
    </row>
    <row r="12">
      <c r="A12" t="inlineStr">
        <is>
          <t>PipeRun</t>
        </is>
      </c>
      <c r="B12" t="inlineStr">
        <is>
          <t>Básico</t>
        </is>
      </c>
      <c r="C12" t="inlineStr">
        <is>
          <t>99</t>
        </is>
      </c>
      <c r="D12" t="inlineStr">
        <is>
          <t>79</t>
        </is>
      </c>
      <c r="E12">
        <f>IF(D12=0,"N/A",ROUND((1-D12/C12)*100,0)&amp;"%")</f>
        <v/>
      </c>
      <c r="F12" t="inlineStr">
        <is>
          <t>3</t>
        </is>
      </c>
      <c r="G12" t="inlineStr">
        <is>
          <t>Pipeline, propostas</t>
        </is>
      </c>
      <c r="H12" t="inlineStr">
        <is>
          <t>Sem relatórios</t>
        </is>
      </c>
      <c r="I12" t="inlineStr"/>
    </row>
    <row r="13">
      <c r="A13" t="inlineStr">
        <is>
          <t>PipeRun</t>
        </is>
      </c>
      <c r="B13" t="inlineStr">
        <is>
          <t>Avançado</t>
        </is>
      </c>
      <c r="C13" t="inlineStr">
        <is>
          <t>259</t>
        </is>
      </c>
      <c r="D13" t="inlineStr">
        <is>
          <t>207</t>
        </is>
      </c>
      <c r="E13">
        <f>IF(D13=0,"N/A",ROUND((1-D13/C13)*100,0)&amp;"%")</f>
        <v/>
      </c>
      <c r="F13" t="inlineStr">
        <is>
          <t>10</t>
        </is>
      </c>
      <c r="G13" t="inlineStr">
        <is>
          <t>Automação, relatórios, API</t>
        </is>
      </c>
      <c r="H13" t="inlineStr">
        <is>
          <t>Sem white-label</t>
        </is>
      </c>
      <c r="I13" t="inlineStr"/>
    </row>
    <row r="14">
      <c r="A14" t="inlineStr">
        <is>
          <t>NexTask</t>
        </is>
      </c>
      <c r="B14" t="inlineStr">
        <is>
          <t>Solo</t>
        </is>
      </c>
      <c r="C14" t="inlineStr">
        <is>
          <t>49</t>
        </is>
      </c>
      <c r="D14" t="inlineStr">
        <is>
          <t>39</t>
        </is>
      </c>
      <c r="E14">
        <f>IF(D14=0,"N/A",ROUND((1-D14/C14)*100,0)&amp;"%")</f>
        <v/>
      </c>
      <c r="F14" t="inlineStr">
        <is>
          <t>1</t>
        </is>
      </c>
      <c r="G14" t="inlineStr">
        <is>
          <t>Tarefas, Kanban</t>
        </is>
      </c>
      <c r="H14" t="inlineStr">
        <is>
          <t>5 projetos</t>
        </is>
      </c>
      <c r="I14" t="inlineStr"/>
    </row>
    <row r="15">
      <c r="A15" t="inlineStr">
        <is>
          <t>NexTask</t>
        </is>
      </c>
      <c r="B15" t="inlineStr">
        <is>
          <t>Team</t>
        </is>
      </c>
      <c r="C15" t="inlineStr">
        <is>
          <t>199</t>
        </is>
      </c>
      <c r="D15" t="inlineStr">
        <is>
          <t>159</t>
        </is>
      </c>
      <c r="E15">
        <f>IF(D15=0,"N/A",ROUND((1-D15/C15)*100,0)&amp;"%")</f>
        <v/>
      </c>
      <c r="F15" t="inlineStr">
        <is>
          <t>10</t>
        </is>
      </c>
      <c r="G15" t="inlineStr">
        <is>
          <t>Tudo + Gantt + timesheet</t>
        </is>
      </c>
      <c r="H15" t="inlineStr">
        <is>
          <t>Sem custom fields</t>
        </is>
      </c>
      <c r="I15" t="inlineStr"/>
    </row>
    <row r="16">
      <c r="E16">
        <f>IF(D16=0,"N/A",ROUND((1-D16/C16)*100,0)&amp;"%")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Data</t>
        </is>
      </c>
      <c r="B1" s="2" t="inlineStr">
        <is>
          <t>Concorrente</t>
        </is>
      </c>
      <c r="C1" s="2" t="inlineStr">
        <is>
          <t>Plano</t>
        </is>
      </c>
      <c r="D1" s="2" t="inlineStr">
        <is>
          <t>Campo Alterado</t>
        </is>
      </c>
      <c r="E1" s="2" t="inlineStr">
        <is>
          <t>Valor Anterior</t>
        </is>
      </c>
      <c r="F1" s="2" t="inlineStr">
        <is>
          <t>Valor Novo</t>
        </is>
      </c>
      <c r="G1" s="2" t="inlineStr">
        <is>
          <t>Variação %</t>
        </is>
      </c>
      <c r="H1" s="2" t="inlineStr">
        <is>
          <t>Mudança Recente?</t>
        </is>
      </c>
      <c r="I1" s="2" t="inlineStr">
        <is>
          <t>Impacto Estimado</t>
        </is>
      </c>
      <c r="J1" s="2" t="inlineStr">
        <is>
          <t>Ação Recomendada</t>
        </is>
      </c>
    </row>
    <row r="2">
      <c r="A2" t="inlineStr">
        <is>
          <t>01/03/2026</t>
        </is>
      </c>
      <c r="B2" t="inlineStr">
        <is>
          <t>RivalCRM</t>
        </is>
      </c>
      <c r="C2" t="inlineStr">
        <is>
          <t>Pro</t>
        </is>
      </c>
      <c r="D2" t="inlineStr">
        <is>
          <t>Preço mensal</t>
        </is>
      </c>
      <c r="E2" t="inlineStr">
        <is>
          <t>R$ 249</t>
        </is>
      </c>
      <c r="F2" t="inlineStr">
        <is>
          <t>R$ 299</t>
        </is>
      </c>
      <c r="G2" t="inlineStr"/>
      <c r="H2" t="inlineStr">
        <is>
          <t>Não</t>
        </is>
      </c>
      <c r="I2" t="inlineStr">
        <is>
          <t>Alto</t>
        </is>
      </c>
      <c r="J2" t="inlineStr">
        <is>
          <t>Reforçar custo-benefício em propostas</t>
        </is>
      </c>
    </row>
    <row r="3">
      <c r="A3" t="inlineStr">
        <is>
          <t>15/03/2026</t>
        </is>
      </c>
      <c r="B3" t="inlineStr">
        <is>
          <t>MetricaPro</t>
        </is>
      </c>
      <c r="C3" t="inlineStr">
        <is>
          <t>Growth</t>
        </is>
      </c>
      <c r="D3" t="inlineStr">
        <is>
          <t>Preço mensal</t>
        </is>
      </c>
      <c r="E3" t="inlineStr">
        <is>
          <t>R$ 399</t>
        </is>
      </c>
      <c r="F3" t="inlineStr">
        <is>
          <t>R$ 449</t>
        </is>
      </c>
      <c r="G3">
        <f>IF(OR(E3="N/A",F3="N/A",NOT(ISNUMBER(SUBSTITUTE(SUBSTITUTE(E3,"R$ ",""),".","")*1))),"N/A",ROUND((VALUE(SUBSTITUTE(SUBSTITUTE(F3,"R$ ",""),".",""))-VALUE(SUBSTITUTE(SUBSTITUTE(E3,"R$ ",""),".","")))/VALUE(SUBSTITUTE(SUBSTITUTE(E3,"R$ ",""),".",""))*100,1)&amp;"%")</f>
        <v/>
      </c>
      <c r="H3">
        <f>IF((TODAY()-DATEVALUE(TEXT(A3,"YYYY-MM-DD")))&lt;30,"Sim","Não")</f>
        <v/>
      </c>
      <c r="I3" t="inlineStr">
        <is>
          <t>Médio</t>
        </is>
      </c>
      <c r="J3" t="inlineStr">
        <is>
          <t>Destacar preço competitivo nosso</t>
        </is>
      </c>
    </row>
    <row r="4">
      <c r="A4" t="inlineStr">
        <is>
          <t>20/03/2026</t>
        </is>
      </c>
      <c r="B4" t="inlineStr">
        <is>
          <t>ChatBot360</t>
        </is>
      </c>
      <c r="C4" t="inlineStr">
        <is>
          <t>Scale</t>
        </is>
      </c>
      <c r="D4" t="inlineStr">
        <is>
          <t>Feature</t>
        </is>
      </c>
      <c r="E4" t="inlineStr">
        <is>
          <t>Sem IA generativa</t>
        </is>
      </c>
      <c r="F4" t="inlineStr">
        <is>
          <t>IA generativa inclusa</t>
        </is>
      </c>
      <c r="G4">
        <f>ROUND((449-399)/399*100,1)&amp;"%"</f>
        <v/>
      </c>
      <c r="H4">
        <f>IF((TODAY()-DATEVALUE(TEXT(A4,"YYYY-MM-DD")))&lt;30,"Sim","Não")</f>
        <v/>
      </c>
      <c r="I4" t="inlineStr">
        <is>
          <t>Alto</t>
        </is>
      </c>
      <c r="J4" t="inlineStr">
        <is>
          <t>Avaliar parceria com IA ou roadmap</t>
        </is>
      </c>
    </row>
    <row r="5">
      <c r="A5" t="inlineStr">
        <is>
          <t>01/04/2026</t>
        </is>
      </c>
      <c r="B5" t="inlineStr">
        <is>
          <t>PipeRun</t>
        </is>
      </c>
      <c r="C5" t="inlineStr">
        <is>
          <t>Avançado</t>
        </is>
      </c>
      <c r="D5" t="inlineStr">
        <is>
          <t>Preço mensal</t>
        </is>
      </c>
      <c r="E5" t="inlineStr">
        <is>
          <t>R$ 279</t>
        </is>
      </c>
      <c r="F5" t="inlineStr">
        <is>
          <t>R$ 259</t>
        </is>
      </c>
      <c r="G5" t="inlineStr"/>
      <c r="H5">
        <f>IF((TODAY()-DATEVALUE(TEXT(A5,"YYYY-MM-DD")))&lt;30,"Sim","Não")</f>
        <v/>
      </c>
      <c r="I5" t="inlineStr">
        <is>
          <t>Alto</t>
        </is>
      </c>
      <c r="J5" t="inlineStr">
        <is>
          <t>Revisar posicionamento no tier médio</t>
        </is>
      </c>
    </row>
    <row r="6">
      <c r="A6" t="inlineStr">
        <is>
          <t>05/04/2026</t>
        </is>
      </c>
      <c r="B6" t="inlineStr">
        <is>
          <t>NexTask</t>
        </is>
      </c>
      <c r="C6" t="inlineStr">
        <is>
          <t>Team</t>
        </is>
      </c>
      <c r="D6" t="inlineStr">
        <is>
          <t>Preço mensal</t>
        </is>
      </c>
      <c r="E6" t="inlineStr">
        <is>
          <t>R$ 179</t>
        </is>
      </c>
      <c r="F6" t="inlineStr">
        <is>
          <t>R$ 199</t>
        </is>
      </c>
      <c r="G6">
        <f>ROUND((259-279)/279*100,1)&amp;"%"</f>
        <v/>
      </c>
      <c r="H6">
        <f>IF((TODAY()-DATEVALUE(TEXT(A6,"YYYY-MM-DD")))&lt;30,"Sim","Não")</f>
        <v/>
      </c>
      <c r="I6" t="inlineStr">
        <is>
          <t>Baixo</t>
        </is>
      </c>
      <c r="J6" t="inlineStr">
        <is>
          <t>Sem ação necessária</t>
        </is>
      </c>
    </row>
    <row r="7">
      <c r="A7" t="inlineStr">
        <is>
          <t>10/04/2026</t>
        </is>
      </c>
      <c r="B7" t="inlineStr">
        <is>
          <t>FlowDesk</t>
        </is>
      </c>
      <c r="C7" t="inlineStr">
        <is>
          <t>Business</t>
        </is>
      </c>
      <c r="D7" t="inlineStr">
        <is>
          <t>Usuários inclusos</t>
        </is>
      </c>
      <c r="E7" t="inlineStr">
        <is>
          <t>3</t>
        </is>
      </c>
      <c r="F7" t="inlineStr">
        <is>
          <t>5</t>
        </is>
      </c>
      <c r="G7">
        <f>ROUND((199-179)/179*100,1)&amp;"%"</f>
        <v/>
      </c>
      <c r="H7">
        <f>IF((TODAY()-DATEVALUE(TEXT(A7,"YYYY-MM-DD")))&lt;30,"Sim","Não")</f>
        <v/>
      </c>
      <c r="I7" t="inlineStr">
        <is>
          <t>Médio</t>
        </is>
      </c>
      <c r="J7" t="inlineStr">
        <is>
          <t>Considerar aumentar nosso limite</t>
        </is>
      </c>
    </row>
    <row r="8">
      <c r="A8" t="inlineStr">
        <is>
          <t>15/04/2026</t>
        </is>
      </c>
      <c r="B8" t="inlineStr">
        <is>
          <t>RivalCRM</t>
        </is>
      </c>
      <c r="C8" t="inlineStr">
        <is>
          <t>Enterprise</t>
        </is>
      </c>
      <c r="D8" t="inlineStr">
        <is>
          <t>Novo plano</t>
        </is>
      </c>
      <c r="E8" t="inlineStr">
        <is>
          <t>N/A</t>
        </is>
      </c>
      <c r="F8" t="inlineStr">
        <is>
          <t>R$ 699</t>
        </is>
      </c>
      <c r="G8" t="inlineStr">
        <is>
          <t>N/A</t>
        </is>
      </c>
      <c r="H8">
        <f>IF((TODAY()-DATEVALUE(TEXT(A8,"YYYY-MM-DD")))&lt;30,"Sim","Não")</f>
        <v/>
      </c>
      <c r="I8" t="inlineStr">
        <is>
          <t>Alto</t>
        </is>
      </c>
      <c r="J8" t="inlineStr">
        <is>
          <t>Criar oferta enterprise competitiva</t>
        </is>
      </c>
    </row>
    <row r="9">
      <c r="A9" t="inlineStr">
        <is>
          <t>22/04/2026</t>
        </is>
      </c>
      <c r="B9" t="inlineStr">
        <is>
          <t>MetricaPro</t>
        </is>
      </c>
      <c r="C9" t="inlineStr">
        <is>
          <t>Starter</t>
        </is>
      </c>
      <c r="D9" t="inlineStr">
        <is>
          <t>Desconto anual</t>
        </is>
      </c>
      <c r="E9" t="inlineStr">
        <is>
          <t>15%</t>
        </is>
      </c>
      <c r="F9" t="inlineStr">
        <is>
          <t>20%</t>
        </is>
      </c>
      <c r="G9" t="inlineStr">
        <is>
          <t>N/A</t>
        </is>
      </c>
      <c r="H9">
        <f>IF((TODAY()-DATEVALUE(TEXT(A9,"YYYY-MM-DD")))&lt;30,"Sim","Não")</f>
        <v/>
      </c>
      <c r="I9" t="inlineStr">
        <is>
          <t>Médio</t>
        </is>
      </c>
      <c r="J9" t="inlineStr">
        <is>
          <t>Revisar nossa política de desconto anual</t>
        </is>
      </c>
    </row>
    <row r="10">
      <c r="H10">
        <f>IF((TODAY()-DATEVALUE(TEXT(A10,"YYYY-MM-DD")))&lt;30,"Sim","Não")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Data</t>
        </is>
      </c>
      <c r="B1" s="2" t="inlineStr">
        <is>
          <t>Deal</t>
        </is>
      </c>
      <c r="C1" s="2" t="inlineStr">
        <is>
          <t>Prospect</t>
        </is>
      </c>
      <c r="D1" s="2" t="inlineStr">
        <is>
          <t>Valor (R$)</t>
        </is>
      </c>
      <c r="E1" s="2" t="inlineStr">
        <is>
          <t>Concorrente Citado</t>
        </is>
      </c>
      <c r="F1" s="2" t="inlineStr">
        <is>
          <t>Motivo Perda/Risco</t>
        </is>
      </c>
      <c r="G1" s="2" t="inlineStr">
        <is>
          <t>Receita Perdida (R$)</t>
        </is>
      </c>
      <c r="H1" s="2" t="inlineStr">
        <is>
          <t>Diferença de Preço %</t>
        </is>
      </c>
      <c r="I1" s="2" t="inlineStr">
        <is>
          <t>Status</t>
        </is>
      </c>
      <c r="J1" s="2" t="inlineStr">
        <is>
          <t>Aprendizado</t>
        </is>
      </c>
    </row>
    <row r="2">
      <c r="A2" t="inlineStr">
        <is>
          <t>02/04/2026</t>
        </is>
      </c>
      <c r="B2" t="inlineStr">
        <is>
          <t>Deal-041</t>
        </is>
      </c>
      <c r="C2" t="inlineStr">
        <is>
          <t>TechNova Ltda</t>
        </is>
      </c>
      <c r="D2" t="inlineStr">
        <is>
          <t>18000</t>
        </is>
      </c>
      <c r="E2" t="inlineStr">
        <is>
          <t>RivalCRM</t>
        </is>
      </c>
      <c r="F2" t="inlineStr">
        <is>
          <t>Preço</t>
        </is>
      </c>
      <c r="G2" t="inlineStr">
        <is>
          <t>18000</t>
        </is>
      </c>
      <c r="H2" t="inlineStr"/>
      <c r="I2" t="inlineStr">
        <is>
          <t>Perdido</t>
        </is>
      </c>
      <c r="J2" t="inlineStr">
        <is>
          <t>Prospect comparou nosso Pro com Rival Pro novo a R$299</t>
        </is>
      </c>
    </row>
    <row r="3">
      <c r="A3" t="inlineStr">
        <is>
          <t>05/04/2026</t>
        </is>
      </c>
      <c r="B3" t="inlineStr">
        <is>
          <t>Deal-042</t>
        </is>
      </c>
      <c r="C3" t="inlineStr">
        <is>
          <t>LogiSmart</t>
        </is>
      </c>
      <c r="D3" t="inlineStr">
        <is>
          <t>9600</t>
        </is>
      </c>
      <c r="E3" t="inlineStr">
        <is>
          <t>PipeRun</t>
        </is>
      </c>
      <c r="F3" t="inlineStr">
        <is>
          <t>Preço</t>
        </is>
      </c>
      <c r="G3">
        <f>IF(I3="Perdido",D3,0)</f>
        <v/>
      </c>
      <c r="H3">
        <f>IF(E3="","",ROUND((D3/12-VLOOKUP(E3,Concorrentes!A3:E20,5,FALSE))/VLOOKUP(E3,Concorrentes!A3:E20,5,FALSE)*100,1)&amp;"%")</f>
        <v/>
      </c>
      <c r="I3" t="inlineStr">
        <is>
          <t>Perdido</t>
        </is>
      </c>
      <c r="J3" t="inlineStr">
        <is>
          <t>PipeRun ofereceu desconto agressivo de 25%</t>
        </is>
      </c>
    </row>
    <row r="4">
      <c r="A4" t="inlineStr">
        <is>
          <t>08/04/2026</t>
        </is>
      </c>
      <c r="B4" t="inlineStr">
        <is>
          <t>Deal-043</t>
        </is>
      </c>
      <c r="C4" t="inlineStr">
        <is>
          <t>DataBridge</t>
        </is>
      </c>
      <c r="D4" t="inlineStr">
        <is>
          <t>36000</t>
        </is>
      </c>
      <c r="E4" t="inlineStr">
        <is>
          <t>MetricaPro</t>
        </is>
      </c>
      <c r="F4" t="inlineStr">
        <is>
          <t>Feature</t>
        </is>
      </c>
      <c r="G4">
        <f>IF(I4="Perdido",D4,0)</f>
        <v/>
      </c>
      <c r="H4">
        <f>IF(E4="","",ROUND((D4/12-VLOOKUP(E4,Concorrentes!A3:E20,5,FALSE))/VLOOKUP(E4,Concorrentes!A3:E20,5,FALSE)*100,1)&amp;"%")</f>
        <v/>
      </c>
      <c r="I4" t="inlineStr">
        <is>
          <t>Em risco</t>
        </is>
      </c>
      <c r="J4" t="inlineStr">
        <is>
          <t>Prospect quer cohort analysis que não temos</t>
        </is>
      </c>
    </row>
    <row r="5">
      <c r="A5" t="inlineStr">
        <is>
          <t>12/04/2026</t>
        </is>
      </c>
      <c r="B5" t="inlineStr">
        <is>
          <t>Deal-044</t>
        </is>
      </c>
      <c r="C5" t="inlineStr">
        <is>
          <t>CloudBase</t>
        </is>
      </c>
      <c r="D5" t="inlineStr">
        <is>
          <t>14400</t>
        </is>
      </c>
      <c r="E5" t="inlineStr">
        <is>
          <t>FlowDesk</t>
        </is>
      </c>
      <c r="F5" t="inlineStr">
        <is>
          <t>Preço</t>
        </is>
      </c>
      <c r="G5">
        <f>IF(I5="Perdido",D5,0)</f>
        <v/>
      </c>
      <c r="H5">
        <f>IF(E5="","",ROUND((D5/12-VLOOKUP(E5,Concorrentes!A3:E20,5,FALSE))/VLOOKUP(E5,Concorrentes!A3:E20,5,FALSE)*100,1)&amp;"%")</f>
        <v/>
      </c>
      <c r="I5" t="inlineStr">
        <is>
          <t>Em risco</t>
        </is>
      </c>
      <c r="J5" t="inlineStr">
        <is>
          <t>FlowDesk subiu p/ 5 usuários no Business, melhor custo/user</t>
        </is>
      </c>
    </row>
    <row r="6">
      <c r="A6" t="inlineStr">
        <is>
          <t>18/04/2026</t>
        </is>
      </c>
      <c r="B6" t="inlineStr">
        <is>
          <t>Deal-045</t>
        </is>
      </c>
      <c r="C6" t="inlineStr">
        <is>
          <t>RetailMax</t>
        </is>
      </c>
      <c r="D6" t="inlineStr">
        <is>
          <t>24000</t>
        </is>
      </c>
      <c r="E6" t="inlineStr">
        <is>
          <t>ChatBot360</t>
        </is>
      </c>
      <c r="F6" t="inlineStr">
        <is>
          <t>Feature</t>
        </is>
      </c>
      <c r="G6">
        <f>IF(I6="Perdido",D6,0)</f>
        <v/>
      </c>
      <c r="H6">
        <f>IF(E6="","",ROUND((D6/12-VLOOKUP(E6,Concorrentes!A3:E20,5,FALSE))/VLOOKUP(E6,Concorrentes!A3:E20,5,FALSE)*100,1)&amp;"%")</f>
        <v/>
      </c>
      <c r="I6" t="inlineStr">
        <is>
          <t>Em risco</t>
        </is>
      </c>
      <c r="J6" t="inlineStr">
        <is>
          <t>IA generativa do ChatBot360 impressionou o prospect</t>
        </is>
      </c>
    </row>
    <row r="7">
      <c r="A7" t="inlineStr">
        <is>
          <t>20/04/2026</t>
        </is>
      </c>
      <c r="B7" t="inlineStr">
        <is>
          <t>Deal-046</t>
        </is>
      </c>
      <c r="C7" t="inlineStr">
        <is>
          <t>FinControl</t>
        </is>
      </c>
      <c r="D7" t="inlineStr">
        <is>
          <t>7200</t>
        </is>
      </c>
      <c r="E7" t="inlineStr">
        <is>
          <t>NexTask</t>
        </is>
      </c>
      <c r="F7" t="inlineStr">
        <is>
          <t>Preço</t>
        </is>
      </c>
      <c r="G7">
        <f>IF(I7="Perdido",D7,0)</f>
        <v/>
      </c>
      <c r="H7">
        <f>IF(E7="","",ROUND((D7/12-VLOOKUP(E7,Concorrentes!A3:E20,5,FALSE))/VLOOKUP(E7,Concorrentes!A3:E20,5,FALSE)*100,1)&amp;"%")</f>
        <v/>
      </c>
      <c r="I7" t="inlineStr">
        <is>
          <t>Perdido</t>
        </is>
      </c>
      <c r="J7" t="inlineStr">
        <is>
          <t>Preço similar mas NexTask tem free tier</t>
        </is>
      </c>
    </row>
    <row r="8">
      <c r="A8" t="inlineStr">
        <is>
          <t>25/04/2026</t>
        </is>
      </c>
      <c r="B8" t="inlineStr">
        <is>
          <t>Deal-047</t>
        </is>
      </c>
      <c r="C8" t="inlineStr">
        <is>
          <t>EduPrime</t>
        </is>
      </c>
      <c r="D8" t="inlineStr">
        <is>
          <t>12000</t>
        </is>
      </c>
      <c r="E8" t="inlineStr">
        <is>
          <t>RivalCRM</t>
        </is>
      </c>
      <c r="F8" t="inlineStr">
        <is>
          <t>Preço</t>
        </is>
      </c>
      <c r="G8">
        <f>IF(I8="Perdido",D8,0)</f>
        <v/>
      </c>
      <c r="H8">
        <f>IF(E8="","",ROUND((D8/12-VLOOKUP(E8,Concorrentes!A3:E20,5,FALSE))/VLOOKUP(E8,Concorrentes!A3:E20,5,FALSE)*100,1)&amp;"%")</f>
        <v/>
      </c>
      <c r="I8" t="inlineStr">
        <is>
          <t>Ganho</t>
        </is>
      </c>
      <c r="J8" t="inlineStr">
        <is>
          <t>Usamos dado de aumento do Rival p/ fechar</t>
        </is>
      </c>
    </row>
    <row r="9">
      <c r="A9" t="inlineStr">
        <is>
          <t>27/04/2026</t>
        </is>
      </c>
      <c r="B9" t="inlineStr">
        <is>
          <t>Deal-048</t>
        </is>
      </c>
      <c r="C9" t="inlineStr">
        <is>
          <t>AgriTech</t>
        </is>
      </c>
      <c r="D9" t="inlineStr">
        <is>
          <t>30000</t>
        </is>
      </c>
      <c r="E9" t="inlineStr">
        <is>
          <t>MetricaPro</t>
        </is>
      </c>
      <c r="F9" t="inlineStr">
        <is>
          <t>Proposta</t>
        </is>
      </c>
      <c r="G9">
        <f>IF(I9="Perdido",D9,0)</f>
        <v/>
      </c>
      <c r="H9">
        <f>IF(E9="","",ROUND((D9/12-VLOOKUP(E9,Concorrentes!A3:E20,5,FALSE))/VLOOKUP(E9,Concorrentes!A3:E20,5,FALSE)*100,1)&amp;"%")</f>
        <v/>
      </c>
      <c r="I9" t="inlineStr">
        <is>
          <t>Em negociação</t>
        </is>
      </c>
      <c r="J9" t="inlineStr">
        <is>
          <t>Prospect pediu match de preço com MetricaPro</t>
        </is>
      </c>
    </row>
    <row r="10">
      <c r="G10">
        <f>IF(I10="Perdido",D10,0)</f>
        <v/>
      </c>
      <c r="H10">
        <f>IF(E10="","",ROUND((D10/12-VLOOKUP(E10,Concorrentes!A3:E20,5,FALSE))/VLOOKUP(E10,Concorrentes!A3:E20,5,FALSE)*100,1)&amp;"%")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2026-04-28T17:09:04Z</dcterms:created>
  <dcterms:modified xmlns:dcterms="http://purl.org/dc/terms/" xmlns:xsi="http://www.w3.org/2001/XMLSchema-instance" xsi:type="dcterms:W3CDTF">2026-04-28T17:09:04Z</dcterms:modified>
</cp:coreProperties>
</file>