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📘 Instruçõe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correntes" sheetId="3" state="visible" r:id="rId3"/>
    <sheet xmlns:r="http://schemas.openxmlformats.org/officeDocument/2006/relationships" name="Histórico" sheetId="4" state="visible" r:id="rId4"/>
    <sheet xmlns:r="http://schemas.openxmlformats.org/officeDocument/2006/relationships" name="Análise" sheetId="5" state="visible" r:id="rId5"/>
    <sheet xmlns:r="http://schemas.openxmlformats.org/officeDocument/2006/relationships" name="Battlecar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0b6d40"/>
      </patternFill>
    </fill>
    <fill>
      <patternFill patternType="solid">
        <fgColor rgb="001a5276"/>
      </patternFill>
    </fill>
    <fill>
      <patternFill patternType="solid">
        <fgColor rgb="007d3c98"/>
      </patternFill>
    </fill>
    <fill>
      <patternFill patternType="solid">
        <fgColor rgb="00c0392b"/>
      </patternFill>
    </fill>
    <fill>
      <patternFill patternType="solid">
        <fgColor rgb="00e67e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PriceRadar</t>
        </is>
      </c>
    </row>
    <row r="3">
      <c r="A3" t="inlineStr">
        <is>
          <t>PriceRadar — Inteligência Competitiva de Pricing para SaaS B2B</t>
        </is>
      </c>
    </row>
    <row r="4">
      <c r="A4" t="inlineStr"/>
    </row>
    <row r="5">
      <c r="A5" t="inlineStr">
        <is>
          <t>🎯 OBJETIVO: Detectar mudanças de preço dos concorrentes antes que impactem seus deals.</t>
        </is>
      </c>
    </row>
    <row r="6">
      <c r="A6" t="inlineStr"/>
    </row>
    <row r="7">
      <c r="A7" t="inlineStr">
        <is>
          <t>📋 COMO USAR:</t>
        </is>
      </c>
    </row>
    <row r="8">
      <c r="A8" t="inlineStr"/>
    </row>
    <row r="9">
      <c r="A9" t="inlineStr">
        <is>
          <t>1. ABA 'Concorrentes': Cadastre seus concorrentes e atualize preços semanalmente. Visite as páginas de pricing toda segunda-feira e atualize as colunas E (Preço Atual) e F (Preço Anterior). Fontes sugeridas: página de pricing, Wayback Machine (web.archive.org), propostas recebidas de prospects, G2/Capterra.</t>
        </is>
      </c>
    </row>
    <row r="10">
      <c r="A10" t="inlineStr"/>
    </row>
    <row r="11">
      <c r="A11" t="inlineStr">
        <is>
          <t>2. ABA 'Histórico': Sempre que detectar uma mudança de preço, registre aqui com data, tipo e detalhes. Isso alimenta o Dashboard e a Análise automaticamente.</t>
        </is>
      </c>
    </row>
    <row r="12">
      <c r="A12" t="inlineStr"/>
    </row>
    <row r="13">
      <c r="A13" t="inlineStr">
        <is>
          <t>3. ABA 'Análise': Revise mensalmente. O Score de Ameaça (1-10) deve ser atualizado manualmente com base no impacto no seu pipeline. Fórmulas calculam diferenças e contam mudanças automaticamente.</t>
        </is>
      </c>
    </row>
    <row r="14">
      <c r="A14" t="inlineStr"/>
    </row>
    <row r="15">
      <c r="A15" t="inlineStr">
        <is>
          <t>4. ABA 'Battlecards': Atualize após cada mudança de preço detectada. Distribua para o time de vendas. Cada linha é um script pronto para quando o prospect mencionar o concorrente.</t>
        </is>
      </c>
    </row>
    <row r="16">
      <c r="A16" t="inlineStr"/>
    </row>
    <row r="17">
      <c r="A17" t="inlineStr">
        <is>
          <t>5. ABA 'Dashboard': Visão executiva. Compartilhe com liderança. Atualiza automaticamente com dados das outras abas.</t>
        </is>
      </c>
    </row>
    <row r="18">
      <c r="A18" t="inlineStr"/>
    </row>
    <row r="19">
      <c r="A19" t="inlineStr">
        <is>
          <t>⏰ CADÊNCIA RECOMENDADA:</t>
        </is>
      </c>
    </row>
    <row r="20">
      <c r="A20" t="inlineStr">
        <is>
          <t>- Semanal: Verificar preços dos concorrentes (15 min)</t>
        </is>
      </c>
    </row>
    <row r="21">
      <c r="A21" t="inlineStr">
        <is>
          <t>- Ao detectar mudança: Atualizar Histórico + Battlecard (20 min)</t>
        </is>
      </c>
    </row>
    <row r="22">
      <c r="A22" t="inlineStr">
        <is>
          <t>- Mensal: Revisar Análise e Score de Ameaça (30 min)</t>
        </is>
      </c>
    </row>
    <row r="23">
      <c r="A23" t="inlineStr">
        <is>
          <t>- Trimestral: Avaliar se seu pricing precisa de ajuste (reunião de 1h)</t>
        </is>
      </c>
    </row>
    <row r="24">
      <c r="A24" t="inlineStr"/>
    </row>
    <row r="25">
      <c r="A25" t="inlineStr">
        <is>
          <t>💡 DICA PRO: Configure alertas no Visualping.io ou Distill.io para monitorar automaticamente as páginas de pricing dos concorrentes e receber notificações por email quando houver mudanças.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Métrica</t>
        </is>
      </c>
      <c r="B1" s="2" t="inlineStr">
        <is>
          <t>Valor Atual</t>
        </is>
      </c>
      <c r="C1" s="2" t="inlineStr">
        <is>
          <t>Variação 30d</t>
        </is>
      </c>
      <c r="D1" s="2" t="inlineStr">
        <is>
          <t>Status</t>
        </is>
      </c>
      <c r="E1" s="2" t="inlineStr">
        <is>
          <t>Última Atualização</t>
        </is>
      </c>
    </row>
    <row r="2">
      <c r="A2" t="inlineStr">
        <is>
          <t>Concorrentes Monitorados</t>
        </is>
      </c>
      <c r="B2">
        <f>COUNTIF(Concorrentes!A2:A20,"&lt;&gt;")</f>
        <v/>
      </c>
      <c r="C2" t="inlineStr"/>
      <c r="D2" t="inlineStr">
        <is>
          <t>✅ Ativo</t>
        </is>
      </c>
      <c r="E2" t="inlineStr">
        <is>
          <t>2026-04-27</t>
        </is>
      </c>
    </row>
    <row r="3">
      <c r="A3" t="inlineStr">
        <is>
          <t>Alterações de Preço (últimos 30d)</t>
        </is>
      </c>
      <c r="B3">
        <f>COUNTIFS(Histórico!F2:F100,"&gt;="&amp;TODAY()-30,Histórico!F2:F100,"&lt;="&amp;TODAY())</f>
        <v/>
      </c>
      <c r="C3">
        <f>B3-COUNTIFS(Histórico!F2:F100,"&gt;="&amp;TODAY()-60,Histórico!F2:F100,"&lt;"&amp;TODAY()-30)</f>
        <v/>
      </c>
      <c r="D3" t="inlineStr">
        <is>
          <t>⚠️ Atenção</t>
        </is>
      </c>
      <c r="E3" t="inlineStr">
        <is>
          <t>2026-04-27</t>
        </is>
      </c>
    </row>
    <row r="4">
      <c r="A4" t="inlineStr">
        <is>
          <t>Seu Preço Médio (por seat/mês)</t>
        </is>
      </c>
      <c r="B4" t="inlineStr">
        <is>
          <t>R$ 89</t>
        </is>
      </c>
      <c r="C4" t="inlineStr"/>
      <c r="D4" t="inlineStr">
        <is>
          <t>—</t>
        </is>
      </c>
      <c r="E4" t="inlineStr">
        <is>
          <t>2026-04-27</t>
        </is>
      </c>
    </row>
    <row r="5">
      <c r="A5" t="inlineStr">
        <is>
          <t>Preço Médio do Mercado (por seat/mês)</t>
        </is>
      </c>
      <c r="B5">
        <f>IFERROR(TEXT(AVERAGE(Concorrentes!F2:F20),"R$ #.##0,00"),"—")</f>
        <v/>
      </c>
      <c r="C5">
        <f>IFERROR(TEXT((AVERAGE(Concorrentes!F2:F20)-AVERAGE(Concorrentes!G2:G20))/AVERAGE(Concorrentes!G2:G20),"0,0%"),"—")</f>
        <v/>
      </c>
      <c r="D5" t="inlineStr">
        <is>
          <t>✅ Abaixo</t>
        </is>
      </c>
      <c r="E5" t="inlineStr">
        <is>
          <t>2026-04-27</t>
        </is>
      </c>
    </row>
    <row r="6">
      <c r="A6" t="inlineStr">
        <is>
          <t>Posição Competitiva (rank preço)</t>
        </is>
      </c>
      <c r="B6">
        <f>IFERROR(RANK(Concorrentes!F2,Concorrentes!F2:F20,1)&amp;"º mais barato","—")</f>
        <v/>
      </c>
      <c r="C6" t="inlineStr"/>
      <c r="D6" t="inlineStr">
        <is>
          <t>✅ Competitivo</t>
        </is>
      </c>
      <c r="E6" t="inlineStr">
        <is>
          <t>2026-04-27</t>
        </is>
      </c>
    </row>
    <row r="7">
      <c r="A7" t="inlineStr">
        <is>
          <t>Deals Perdidos por Preço (mês)</t>
        </is>
      </c>
      <c r="B7" t="inlineStr">
        <is>
          <t>4</t>
        </is>
      </c>
      <c r="C7" t="inlineStr">
        <is>
          <t>+1</t>
        </is>
      </c>
      <c r="D7" t="inlineStr">
        <is>
          <t>⚠️ Atenção</t>
        </is>
      </c>
      <c r="E7" t="inlineStr">
        <is>
          <t>2026-04-01</t>
        </is>
      </c>
    </row>
    <row r="8">
      <c r="A8" t="inlineStr">
        <is>
          <t>Win Rate vs Principal Concorrente</t>
        </is>
      </c>
      <c r="B8">
        <f>IFERROR(TEXT(VLOOKUP(MAX(Análise!H2:H20),Análise!H2:I20,2,FALSE),"YYYY-MM-DD"),"Definir")</f>
        <v/>
      </c>
      <c r="C8" t="inlineStr">
        <is>
          <t>+3pp</t>
        </is>
      </c>
      <c r="D8" t="inlineStr">
        <is>
          <t>✅ Subindo</t>
        </is>
      </c>
      <c r="E8" t="inlineStr">
        <is>
          <t>2026-04-27</t>
        </is>
      </c>
    </row>
    <row r="9">
      <c r="A9" t="inlineStr">
        <is>
          <t>Próxima Revisão de Pricing Sugerida</t>
        </is>
      </c>
      <c r="B9" t="inlineStr">
        <is>
          <t>2026-05-15</t>
        </is>
      </c>
      <c r="C9" t="inlineStr"/>
      <c r="D9" t="inlineStr">
        <is>
          <t>📅 Agendada</t>
        </is>
      </c>
      <c r="E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3" t="inlineStr">
        <is>
          <t>Concorrente</t>
        </is>
      </c>
      <c r="B1" s="3" t="inlineStr">
        <is>
          <t>Website</t>
        </is>
      </c>
      <c r="C1" s="3" t="inlineStr">
        <is>
          <t>Plano Monitorado</t>
        </is>
      </c>
      <c r="D1" s="3" t="inlineStr">
        <is>
          <t>Modelo de Cobrança</t>
        </is>
      </c>
      <c r="E1" s="3" t="inlineStr">
        <is>
          <t>Preço Atual (seat/mês)</t>
        </is>
      </c>
      <c r="F1" s="3" t="inlineStr">
        <is>
          <t>Preço Anterior</t>
        </is>
      </c>
      <c r="G1" s="3" t="inlineStr">
        <is>
          <t>Variação %</t>
        </is>
      </c>
      <c r="H1" s="3" t="inlineStr">
        <is>
          <t>Features Incluídas</t>
        </is>
      </c>
      <c r="I1" s="3" t="inlineStr">
        <is>
          <t>Limite de Usuários</t>
        </is>
      </c>
      <c r="J1" s="3" t="inlineStr">
        <is>
          <t>Trial/Freemium</t>
        </is>
      </c>
      <c r="K1" s="3" t="inlineStr">
        <is>
          <t>Última Verificação</t>
        </is>
      </c>
      <c r="L1" s="3" t="inlineStr">
        <is>
          <t>Fonte</t>
        </is>
      </c>
    </row>
    <row r="2">
      <c r="A2" t="inlineStr">
        <is>
          <t>Nós (ProdutoX)</t>
        </is>
      </c>
      <c r="B2" t="inlineStr">
        <is>
          <t>produtox.com.br</t>
        </is>
      </c>
      <c r="C2" t="inlineStr">
        <is>
          <t>Professional</t>
        </is>
      </c>
      <c r="D2" t="inlineStr">
        <is>
          <t>Per seat/mês</t>
        </is>
      </c>
      <c r="E2" t="inlineStr">
        <is>
          <t>89</t>
        </is>
      </c>
      <c r="F2" t="inlineStr">
        <is>
          <t>85</t>
        </is>
      </c>
      <c r="G2">
        <f>IFERROR((F2-G2)/G2,0)</f>
        <v/>
      </c>
      <c r="H2" t="inlineStr">
        <is>
          <t>CRM + Automação + API</t>
        </is>
      </c>
      <c r="I2" t="inlineStr">
        <is>
          <t>Ilimitado</t>
        </is>
      </c>
      <c r="J2" t="inlineStr">
        <is>
          <t>14 dias trial</t>
        </is>
      </c>
      <c r="K2" t="inlineStr">
        <is>
          <t>2026-04-27</t>
        </is>
      </c>
      <c r="L2" t="inlineStr">
        <is>
          <t>—</t>
        </is>
      </c>
    </row>
    <row r="3">
      <c r="A3" t="inlineStr">
        <is>
          <t>CompetitorAlpha</t>
        </is>
      </c>
      <c r="B3" t="inlineStr">
        <is>
          <t>alpha.io</t>
        </is>
      </c>
      <c r="C3" t="inlineStr">
        <is>
          <t>Business</t>
        </is>
      </c>
      <c r="D3" t="inlineStr">
        <is>
          <t>Per seat/mês</t>
        </is>
      </c>
      <c r="E3" t="inlineStr">
        <is>
          <t>109</t>
        </is>
      </c>
      <c r="F3" t="inlineStr">
        <is>
          <t>99</t>
        </is>
      </c>
      <c r="G3">
        <f>IFERROR((F3-G3)/G3,0)</f>
        <v/>
      </c>
      <c r="H3" t="inlineStr">
        <is>
          <t>CRM + Automação</t>
        </is>
      </c>
      <c r="I3" t="inlineStr">
        <is>
          <t>50</t>
        </is>
      </c>
      <c r="J3" t="inlineStr">
        <is>
          <t>Freemium</t>
        </is>
      </c>
      <c r="K3" t="inlineStr">
        <is>
          <t>2026-04-25</t>
        </is>
      </c>
      <c r="L3" t="inlineStr">
        <is>
          <t>Página de pricing</t>
        </is>
      </c>
    </row>
    <row r="4">
      <c r="A4" t="inlineStr">
        <is>
          <t>CompetitorBeta</t>
        </is>
      </c>
      <c r="B4" t="inlineStr">
        <is>
          <t>beta.com</t>
        </is>
      </c>
      <c r="C4" t="inlineStr">
        <is>
          <t>Pro</t>
        </is>
      </c>
      <c r="D4" t="inlineStr">
        <is>
          <t>Per seat/mês</t>
        </is>
      </c>
      <c r="E4" t="inlineStr">
        <is>
          <t>79</t>
        </is>
      </c>
      <c r="F4" t="inlineStr">
        <is>
          <t>79</t>
        </is>
      </c>
      <c r="G4">
        <f>IFERROR((F4-G4)/G4,0)</f>
        <v/>
      </c>
      <c r="H4" t="inlineStr">
        <is>
          <t>CRM + Integrações</t>
        </is>
      </c>
      <c r="I4" t="inlineStr">
        <is>
          <t>30</t>
        </is>
      </c>
      <c r="J4" t="inlineStr">
        <is>
          <t>30 dias trial</t>
        </is>
      </c>
      <c r="K4" t="inlineStr">
        <is>
          <t>2026-04-26</t>
        </is>
      </c>
      <c r="L4" t="inlineStr">
        <is>
          <t>Página de pricing</t>
        </is>
      </c>
    </row>
    <row r="5">
      <c r="A5" t="inlineStr">
        <is>
          <t>CompetitorGamma</t>
        </is>
      </c>
      <c r="B5" t="inlineStr">
        <is>
          <t>gamma.app</t>
        </is>
      </c>
      <c r="C5" t="inlineStr">
        <is>
          <t>Scale</t>
        </is>
      </c>
      <c r="D5" t="inlineStr">
        <is>
          <t>Per seat/mês</t>
        </is>
      </c>
      <c r="E5" t="inlineStr">
        <is>
          <t>95</t>
        </is>
      </c>
      <c r="F5" t="inlineStr">
        <is>
          <t>89</t>
        </is>
      </c>
      <c r="G5">
        <f>IFERROR((F5-G5)/G5,0)</f>
        <v/>
      </c>
      <c r="H5" t="inlineStr">
        <is>
          <t>CRM + Automação + BI</t>
        </is>
      </c>
      <c r="I5" t="inlineStr">
        <is>
          <t>100</t>
        </is>
      </c>
      <c r="J5" t="inlineStr">
        <is>
          <t>Freemium</t>
        </is>
      </c>
      <c r="K5" t="inlineStr">
        <is>
          <t>2026-04-24</t>
        </is>
      </c>
      <c r="L5" t="inlineStr">
        <is>
          <t>Wayback Machine</t>
        </is>
      </c>
    </row>
    <row r="6">
      <c r="A6" t="inlineStr">
        <is>
          <t>CompetitorDelta</t>
        </is>
      </c>
      <c r="B6" t="inlineStr">
        <is>
          <t>delta.co</t>
        </is>
      </c>
      <c r="C6" t="inlineStr">
        <is>
          <t>Team</t>
        </is>
      </c>
      <c r="D6" t="inlineStr">
        <is>
          <t>Flat + seat</t>
        </is>
      </c>
      <c r="E6" t="inlineStr">
        <is>
          <t>115</t>
        </is>
      </c>
      <c r="F6" t="inlineStr">
        <is>
          <t>115</t>
        </is>
      </c>
      <c r="G6">
        <f>IFERROR((F6-G6)/G6,0)</f>
        <v/>
      </c>
      <c r="H6" t="inlineStr">
        <is>
          <t>CRM + Suporte Premium</t>
        </is>
      </c>
      <c r="I6" t="inlineStr">
        <is>
          <t>25</t>
        </is>
      </c>
      <c r="J6" t="inlineStr">
        <is>
          <t>Demo only</t>
        </is>
      </c>
      <c r="K6" t="inlineStr">
        <is>
          <t>2026-04-23</t>
        </is>
      </c>
      <c r="L6" t="inlineStr">
        <is>
          <t>Proposta comercial</t>
        </is>
      </c>
    </row>
    <row r="7">
      <c r="A7" t="inlineStr">
        <is>
          <t>CompetitorEpsilon</t>
        </is>
      </c>
      <c r="B7" t="inlineStr">
        <is>
          <t>epsilon.io</t>
        </is>
      </c>
      <c r="C7" t="inlineStr">
        <is>
          <t>Growth</t>
        </is>
      </c>
      <c r="D7" t="inlineStr">
        <is>
          <t>Per seat/mês</t>
        </is>
      </c>
      <c r="E7" t="inlineStr">
        <is>
          <t>75</t>
        </is>
      </c>
      <c r="F7" t="inlineStr">
        <is>
          <t>69</t>
        </is>
      </c>
      <c r="G7">
        <f>IFERROR((F7-G7)/G7,0)</f>
        <v/>
      </c>
      <c r="H7" t="inlineStr">
        <is>
          <t>CRM básico</t>
        </is>
      </c>
      <c r="I7" t="inlineStr">
        <is>
          <t>15</t>
        </is>
      </c>
      <c r="J7" t="inlineStr">
        <is>
          <t>Freemium</t>
        </is>
      </c>
      <c r="K7" t="inlineStr">
        <is>
          <t>2026-04-22</t>
        </is>
      </c>
      <c r="L7" t="inlineStr">
        <is>
          <t>Página de pricing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4" t="inlineStr">
        <is>
          <t>Concorrente</t>
        </is>
      </c>
      <c r="B1" s="4" t="inlineStr">
        <is>
          <t>Plano</t>
        </is>
      </c>
      <c r="C1" s="4" t="inlineStr">
        <is>
          <t>Preço Antigo</t>
        </is>
      </c>
      <c r="D1" s="4" t="inlineStr">
        <is>
          <t>Preço Novo</t>
        </is>
      </c>
      <c r="E1" s="4" t="inlineStr">
        <is>
          <t>Variação %</t>
        </is>
      </c>
      <c r="F1" s="4" t="inlineStr">
        <is>
          <t>Data da Mudança</t>
        </is>
      </c>
      <c r="G1" s="4" t="inlineStr">
        <is>
          <t>Tipo de Mudança</t>
        </is>
      </c>
      <c r="H1" s="4" t="inlineStr">
        <is>
          <t>Detalhes</t>
        </is>
      </c>
      <c r="I1" s="4" t="inlineStr">
        <is>
          <t>Impacto Estimado</t>
        </is>
      </c>
      <c r="J1" s="4" t="inlineStr">
        <is>
          <t>Ação Tomada</t>
        </is>
      </c>
    </row>
    <row r="2">
      <c r="A2" t="inlineStr">
        <is>
          <t>CompetitorAlpha</t>
        </is>
      </c>
      <c r="B2" t="inlineStr">
        <is>
          <t>Business</t>
        </is>
      </c>
      <c r="C2" t="inlineStr">
        <is>
          <t>99</t>
        </is>
      </c>
      <c r="D2" t="inlineStr">
        <is>
          <t>109</t>
        </is>
      </c>
      <c r="E2">
        <f>IFERROR((D2-C2)/C2,0)</f>
        <v/>
      </c>
      <c r="F2" t="inlineStr">
        <is>
          <t>2026-04-15</t>
        </is>
      </c>
      <c r="G2" t="inlineStr">
        <is>
          <t>Aumento</t>
        </is>
      </c>
      <c r="H2" t="inlineStr">
        <is>
          <t>Aumento de 10% no plano Business</t>
        </is>
      </c>
      <c r="I2" t="inlineStr">
        <is>
          <t>Alto - principal concorrente</t>
        </is>
      </c>
      <c r="J2" t="inlineStr">
        <is>
          <t>Reposicionar messaging</t>
        </is>
      </c>
    </row>
    <row r="3">
      <c r="A3" t="inlineStr">
        <is>
          <t>CompetitorGamma</t>
        </is>
      </c>
      <c r="B3" t="inlineStr">
        <is>
          <t>Scale</t>
        </is>
      </c>
      <c r="C3" t="inlineStr">
        <is>
          <t>89</t>
        </is>
      </c>
      <c r="D3" t="inlineStr">
        <is>
          <t>95</t>
        </is>
      </c>
      <c r="E3">
        <f>IFERROR((D3-C3)/C3,0)</f>
        <v/>
      </c>
      <c r="F3" t="inlineStr">
        <is>
          <t>2026-04-10</t>
        </is>
      </c>
      <c r="G3" t="inlineStr">
        <is>
          <t>Aumento</t>
        </is>
      </c>
      <c r="H3" t="inlineStr">
        <is>
          <t>Novo tier com BI incluído</t>
        </is>
      </c>
      <c r="I3" t="inlineStr">
        <is>
          <t>Médio</t>
        </is>
      </c>
      <c r="J3" t="inlineStr">
        <is>
          <t>Destacar nosso BI gratuito</t>
        </is>
      </c>
    </row>
    <row r="4">
      <c r="A4" t="inlineStr">
        <is>
          <t>CompetitorEpsilon</t>
        </is>
      </c>
      <c r="B4" t="inlineStr">
        <is>
          <t>Growth</t>
        </is>
      </c>
      <c r="C4" t="inlineStr">
        <is>
          <t>69</t>
        </is>
      </c>
      <c r="D4" t="inlineStr">
        <is>
          <t>75</t>
        </is>
      </c>
      <c r="E4">
        <f>IFERROR((D4-C4)/C4,0)</f>
        <v/>
      </c>
      <c r="F4" t="inlineStr">
        <is>
          <t>2026-04-05</t>
        </is>
      </c>
      <c r="G4" t="inlineStr">
        <is>
          <t>Aumento</t>
        </is>
      </c>
      <c r="H4" t="inlineStr">
        <is>
          <t>Aumento geral +8,7%</t>
        </is>
      </c>
      <c r="I4" t="inlineStr">
        <is>
          <t>Baixo - segmento diferente</t>
        </is>
      </c>
      <c r="J4" t="inlineStr">
        <is>
          <t>Nenhuma</t>
        </is>
      </c>
    </row>
    <row r="5">
      <c r="A5" t="inlineStr">
        <is>
          <t>CompetitorBeta</t>
        </is>
      </c>
      <c r="B5" t="inlineStr">
        <is>
          <t>Pro</t>
        </is>
      </c>
      <c r="C5" t="inlineStr">
        <is>
          <t>85</t>
        </is>
      </c>
      <c r="D5" t="inlineStr">
        <is>
          <t>79</t>
        </is>
      </c>
      <c r="E5">
        <f>IFERROR((D5-C5)/C5,0)</f>
        <v/>
      </c>
      <c r="F5" t="inlineStr">
        <is>
          <t>2026-03-20</t>
        </is>
      </c>
      <c r="G5" t="inlineStr">
        <is>
          <t>Redução</t>
        </is>
      </c>
      <c r="H5" t="inlineStr">
        <is>
          <t>Redução agressiva para ganhar mercado</t>
        </is>
      </c>
      <c r="I5" t="inlineStr">
        <is>
          <t>Alto - undercut direto</t>
        </is>
      </c>
      <c r="J5" t="inlineStr">
        <is>
          <t>Revisar desconto volume</t>
        </is>
      </c>
    </row>
    <row r="6">
      <c r="A6" t="inlineStr">
        <is>
          <t>CompetitorAlpha</t>
        </is>
      </c>
      <c r="B6" t="inlineStr">
        <is>
          <t>Starter</t>
        </is>
      </c>
      <c r="C6" t="inlineStr">
        <is>
          <t>49</t>
        </is>
      </c>
      <c r="D6" t="inlineStr">
        <is>
          <t>0</t>
        </is>
      </c>
      <c r="E6">
        <f>IFERROR((D6-C6)/C6,0)</f>
        <v/>
      </c>
      <c r="F6" t="inlineStr">
        <is>
          <t>2026-03-01</t>
        </is>
      </c>
      <c r="G6" t="inlineStr">
        <is>
          <t>Freemium</t>
        </is>
      </c>
      <c r="H6" t="inlineStr">
        <is>
          <t>Lançamento de plano gratuito</t>
        </is>
      </c>
      <c r="I6" t="inlineStr">
        <is>
          <t>Alto - entrada de mercado</t>
        </is>
      </c>
      <c r="J6" t="inlineStr">
        <is>
          <t>Criar comparativo público</t>
        </is>
      </c>
    </row>
    <row r="7">
      <c r="A7" t="inlineStr">
        <is>
          <t>CompetitorDelta</t>
        </is>
      </c>
      <c r="B7" t="inlineStr">
        <is>
          <t>Team</t>
        </is>
      </c>
      <c r="C7" t="inlineStr">
        <is>
          <t>110</t>
        </is>
      </c>
      <c r="D7" t="inlineStr">
        <is>
          <t>115</t>
        </is>
      </c>
      <c r="E7">
        <f>IFERROR((D7-C7)/C7,0)</f>
        <v/>
      </c>
      <c r="F7" t="inlineStr">
        <is>
          <t>2026-02-15</t>
        </is>
      </c>
      <c r="G7" t="inlineStr">
        <is>
          <t>Aumento</t>
        </is>
      </c>
      <c r="H7" t="inlineStr">
        <is>
          <t>Reajuste trimestral</t>
        </is>
      </c>
      <c r="I7" t="inlineStr">
        <is>
          <t>Baixo</t>
        </is>
      </c>
      <c r="J7" t="inlineStr">
        <is>
          <t>Nenhuma</t>
        </is>
      </c>
    </row>
    <row r="8">
      <c r="A8" t="inlineStr">
        <is>
          <t>CompetitorGamma</t>
        </is>
      </c>
      <c r="B8" t="inlineStr">
        <is>
          <t>Scale</t>
        </is>
      </c>
      <c r="C8" t="inlineStr">
        <is>
          <t>85</t>
        </is>
      </c>
      <c r="D8" t="inlineStr">
        <is>
          <t>89</t>
        </is>
      </c>
      <c r="E8">
        <f>IFERROR((D8-C8)/C8,0)</f>
        <v/>
      </c>
      <c r="F8" t="inlineStr">
        <is>
          <t>2026-01-10</t>
        </is>
      </c>
      <c r="G8" t="inlineStr">
        <is>
          <t>Aumento</t>
        </is>
      </c>
      <c r="H8" t="inlineStr">
        <is>
          <t>Inclusão de novo módulo</t>
        </is>
      </c>
      <c r="I8" t="inlineStr">
        <is>
          <t>Médio</t>
        </is>
      </c>
      <c r="J8" t="inlineStr">
        <is>
          <t>Atualizar battlecard</t>
        </is>
      </c>
    </row>
    <row r="9">
      <c r="A9" t="inlineStr">
        <is>
          <t>CompetitorAlpha</t>
        </is>
      </c>
      <c r="B9" t="inlineStr">
        <is>
          <t>Business</t>
        </is>
      </c>
      <c r="C9" t="inlineStr">
        <is>
          <t>95</t>
        </is>
      </c>
      <c r="D9" t="inlineStr">
        <is>
          <t>99</t>
        </is>
      </c>
      <c r="E9">
        <f>IFERROR((D9-C9)/C9,0)</f>
        <v/>
      </c>
      <c r="F9" t="inlineStr">
        <is>
          <t>2025-12-01</t>
        </is>
      </c>
      <c r="G9" t="inlineStr">
        <is>
          <t>Aumento</t>
        </is>
      </c>
      <c r="H9" t="inlineStr">
        <is>
          <t>Segundo aumento no ano</t>
        </is>
      </c>
      <c r="I9" t="inlineStr">
        <is>
          <t>Médio</t>
        </is>
      </c>
      <c r="J9" t="inlineStr">
        <is>
          <t>Comunicar estabilidade do nosso preço</t>
        </is>
      </c>
    </row>
    <row r="10">
      <c r="A10" t="inlineStr">
        <is>
          <t>CompetitorEpsilon</t>
        </is>
      </c>
      <c r="B10" t="inlineStr">
        <is>
          <t>Growth</t>
        </is>
      </c>
      <c r="C10" t="inlineStr">
        <is>
          <t>65</t>
        </is>
      </c>
      <c r="D10" t="inlineStr">
        <is>
          <t>69</t>
        </is>
      </c>
      <c r="E10">
        <f>IFERROR((D10-C10)/C10,0)</f>
        <v/>
      </c>
      <c r="F10" t="inlineStr">
        <is>
          <t>2025-11-15</t>
        </is>
      </c>
      <c r="G10" t="inlineStr">
        <is>
          <t>Aumento</t>
        </is>
      </c>
      <c r="H10" t="inlineStr">
        <is>
          <t>Reajuste anual</t>
        </is>
      </c>
      <c r="I10" t="inlineStr">
        <is>
          <t>Baixo</t>
        </is>
      </c>
      <c r="J10" t="inlineStr">
        <is>
          <t>Nenhuma</t>
        </is>
      </c>
    </row>
    <row r="11">
      <c r="A11" t="inlineStr">
        <is>
          <t>CompetitorBeta</t>
        </is>
      </c>
      <c r="B11" t="inlineStr">
        <is>
          <t>Pro</t>
        </is>
      </c>
      <c r="C11" t="inlineStr">
        <is>
          <t>82</t>
        </is>
      </c>
      <c r="D11" t="inlineStr">
        <is>
          <t>85</t>
        </is>
      </c>
      <c r="E11">
        <f>IFERROR((D11-C11)/C11,0)</f>
        <v/>
      </c>
      <c r="F11" t="inlineStr">
        <is>
          <t>2025-10-01</t>
        </is>
      </c>
      <c r="G11" t="inlineStr">
        <is>
          <t>Aumento</t>
        </is>
      </c>
      <c r="H11" t="inlineStr">
        <is>
          <t>Aumento pós rodada de investimento</t>
        </is>
      </c>
      <c r="I11" t="inlineStr">
        <is>
          <t>Médio</t>
        </is>
      </c>
      <c r="J11" t="inlineStr">
        <is>
          <t>Monitorar próximos movimentos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5" t="inlineStr">
        <is>
          <t>Concorrente</t>
        </is>
      </c>
      <c r="B1" s="5" t="inlineStr">
        <is>
          <t>Preço Atual</t>
        </is>
      </c>
      <c r="C1" s="5" t="inlineStr">
        <is>
          <t>Preço/Feature Score</t>
        </is>
      </c>
      <c r="D1" s="5" t="inlineStr">
        <is>
          <t>Mudanças (12 meses)</t>
        </is>
      </c>
      <c r="E1" s="5" t="inlineStr">
        <is>
          <t>Tendência</t>
        </is>
      </c>
      <c r="F1" s="5" t="inlineStr">
        <is>
          <t>Diferença vs Nós (R$)</t>
        </is>
      </c>
      <c r="G1" s="5" t="inlineStr">
        <is>
          <t>Diferença vs Nós (%)</t>
        </is>
      </c>
      <c r="H1" s="5" t="inlineStr">
        <is>
          <t>Score de Ameaça (1-10)</t>
        </is>
      </c>
      <c r="I1" s="5" t="inlineStr">
        <is>
          <t>Próxima Revisão Estimada</t>
        </is>
      </c>
      <c r="J1" s="5" t="inlineStr">
        <is>
          <t>Recomendação</t>
        </is>
      </c>
    </row>
    <row r="2">
      <c r="A2" t="inlineStr">
        <is>
          <t>CompetitorAlpha</t>
        </is>
      </c>
      <c r="B2" t="inlineStr">
        <is>
          <t>109</t>
        </is>
      </c>
      <c r="C2">
        <f>IFERROR(B2/LEN(SUBSTITUTE(Concorrentes!H3," ","")),0)</f>
        <v/>
      </c>
      <c r="D2">
        <f>COUNTIF(Histórico!A2:A100,A2)</f>
        <v/>
      </c>
      <c r="E2" t="inlineStr">
        <is>
          <t>📈 Subindo</t>
        </is>
      </c>
      <c r="F2">
        <f>B2-Concorrentes!F2</f>
        <v/>
      </c>
      <c r="G2">
        <f>IFERROR(F2/Concorrentes!F2,0)</f>
        <v/>
      </c>
      <c r="H2" t="inlineStr">
        <is>
          <t>7</t>
        </is>
      </c>
      <c r="I2" t="inlineStr">
        <is>
          <t>2026-07-01</t>
        </is>
      </c>
      <c r="J2" t="inlineStr">
        <is>
          <t>Manter preço; reforçar valor de API inclusa</t>
        </is>
      </c>
    </row>
    <row r="3">
      <c r="A3" t="inlineStr">
        <is>
          <t>CompetitorBeta</t>
        </is>
      </c>
      <c r="B3" t="inlineStr">
        <is>
          <t>79</t>
        </is>
      </c>
      <c r="C3">
        <f>IFERROR(B3/LEN(SUBSTITUTE(Concorrentes!H4," ","")),0)</f>
        <v/>
      </c>
      <c r="D3">
        <f>COUNTIF(Histórico!A2:A100,A3)</f>
        <v/>
      </c>
      <c r="E3" t="inlineStr">
        <is>
          <t>📉 Descendo</t>
        </is>
      </c>
      <c r="F3">
        <f>B3-Concorrentes!F2</f>
        <v/>
      </c>
      <c r="G3">
        <f>IFERROR(F3/Concorrentes!F2,0)</f>
        <v/>
      </c>
      <c r="H3" t="inlineStr">
        <is>
          <t>9</t>
        </is>
      </c>
      <c r="I3" t="inlineStr">
        <is>
          <t>2026-06-01</t>
        </is>
      </c>
      <c r="J3" t="inlineStr">
        <is>
          <t>ALERTA: undercut ativo. Criar bundle competitivo</t>
        </is>
      </c>
    </row>
    <row r="4">
      <c r="A4" t="inlineStr">
        <is>
          <t>CompetitorGamma</t>
        </is>
      </c>
      <c r="B4" t="inlineStr">
        <is>
          <t>95</t>
        </is>
      </c>
      <c r="C4">
        <f>IFERROR(B4/LEN(SUBSTITUTE(Concorrentes!H5," ","")),0)</f>
        <v/>
      </c>
      <c r="D4">
        <f>COUNTIF(Histórico!A2:A100,A4)</f>
        <v/>
      </c>
      <c r="E4" t="inlineStr">
        <is>
          <t>📈 Subindo</t>
        </is>
      </c>
      <c r="F4">
        <f>B4-Concorrentes!F2</f>
        <v/>
      </c>
      <c r="G4">
        <f>IFERROR(F4/Concorrentes!F2,0)</f>
        <v/>
      </c>
      <c r="H4" t="inlineStr">
        <is>
          <t>5</t>
        </is>
      </c>
      <c r="I4" t="inlineStr">
        <is>
          <t>2026-07-15</t>
        </is>
      </c>
      <c r="J4" t="inlineStr">
        <is>
          <t>Sem ação. Tendência favorável</t>
        </is>
      </c>
    </row>
    <row r="5">
      <c r="A5" t="inlineStr">
        <is>
          <t>CompetitorDelta</t>
        </is>
      </c>
      <c r="B5" t="inlineStr">
        <is>
          <t>115</t>
        </is>
      </c>
      <c r="C5">
        <f>IFERROR(B5/LEN(SUBSTITUTE(Concorrentes!H6," ","")),0)</f>
        <v/>
      </c>
      <c r="D5">
        <f>COUNTIF(Histórico!A2:A100,A5)</f>
        <v/>
      </c>
      <c r="E5" t="inlineStr">
        <is>
          <t>➡️ Estável</t>
        </is>
      </c>
      <c r="F5">
        <f>B5-Concorrentes!F2</f>
        <v/>
      </c>
      <c r="G5">
        <f>IFERROR(F5/Concorrentes!F2,0)</f>
        <v/>
      </c>
      <c r="H5" t="inlineStr">
        <is>
          <t>3</t>
        </is>
      </c>
      <c r="I5" t="inlineStr">
        <is>
          <t>2026-05-15</t>
        </is>
      </c>
      <c r="J5" t="inlineStr">
        <is>
          <t>Baixa ameaça. Foco em diferenciação</t>
        </is>
      </c>
    </row>
    <row r="6">
      <c r="A6" t="inlineStr">
        <is>
          <t>CompetitorEpsilon</t>
        </is>
      </c>
      <c r="B6" t="inlineStr">
        <is>
          <t>75</t>
        </is>
      </c>
      <c r="C6">
        <f>IFERROR(B6/LEN(SUBSTITUTE(Concorrentes!H7," ","")),0)</f>
        <v/>
      </c>
      <c r="D6">
        <f>COUNTIF(Histórico!A2:A100,A6)</f>
        <v/>
      </c>
      <c r="E6" t="inlineStr">
        <is>
          <t>📈 Subindo</t>
        </is>
      </c>
      <c r="F6">
        <f>B6-Concorrentes!F2</f>
        <v/>
      </c>
      <c r="G6">
        <f>IFERROR(F6/Concorrentes!F2,0)</f>
        <v/>
      </c>
      <c r="H6" t="inlineStr">
        <is>
          <t>6</t>
        </is>
      </c>
      <c r="I6" t="inlineStr">
        <is>
          <t>2026-08-01</t>
        </is>
      </c>
      <c r="J6" t="inlineStr">
        <is>
          <t>Monitorar; se subir mais, destacar custo-benefício nosso</t>
        </is>
      </c>
    </row>
    <row r="7">
      <c r="A7" t="inlineStr">
        <is>
          <t>— MÉDIA MERCADO —</t>
        </is>
      </c>
      <c r="B7">
        <f>AVERAGE(B2:B6)</f>
        <v/>
      </c>
      <c r="C7" t="inlineStr"/>
      <c r="D7" t="inlineStr"/>
      <c r="E7" t="inlineStr"/>
      <c r="F7" t="inlineStr"/>
      <c r="G7" t="inlineStr"/>
      <c r="H7">
        <f>AVERAGE(H2:H6)</f>
        <v/>
      </c>
      <c r="I7" t="inlineStr"/>
      <c r="J7" t="inlineStr"/>
    </row>
    <row r="8">
      <c r="A8" t="inlineStr">
        <is>
          <t>— MEDIANA MERCADO —</t>
        </is>
      </c>
      <c r="B8">
        <f>MEDIAN(B2:B6)</f>
        <v/>
      </c>
      <c r="C8" t="inlineStr"/>
      <c r="D8" t="inlineStr"/>
      <c r="E8" t="inlineStr"/>
      <c r="F8" t="inlineStr"/>
      <c r="G8" t="inlineStr"/>
      <c r="H8">
        <f>MEDIAN(H2:H6)</f>
        <v/>
      </c>
      <c r="I8" t="inlineStr"/>
      <c r="J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" t="inlineStr">
        <is>
          <t>Concorrente</t>
        </is>
      </c>
      <c r="B1" s="6" t="inlineStr">
        <is>
          <t>Nosso Preço</t>
        </is>
      </c>
      <c r="C1" s="6" t="inlineStr">
        <is>
          <t>Preço Deles</t>
        </is>
      </c>
      <c r="D1" s="6" t="inlineStr">
        <is>
          <t>Economia p/ Cliente</t>
        </is>
      </c>
      <c r="E1" s="6" t="inlineStr">
        <is>
          <t>Pitch de 1 Linha</t>
        </is>
      </c>
      <c r="F1" s="6" t="inlineStr">
        <is>
          <t>Ponto Forte Deles</t>
        </is>
      </c>
      <c r="G1" s="6" t="inlineStr">
        <is>
          <t>Nosso Contra-Argumento</t>
        </is>
      </c>
      <c r="H1" s="6" t="inlineStr">
        <is>
          <t>Objeção Comum</t>
        </is>
      </c>
      <c r="I1" s="6" t="inlineStr">
        <is>
          <t>Resposta à Objeção</t>
        </is>
      </c>
      <c r="J1" s="6" t="inlineStr">
        <is>
          <t>Última Atualização</t>
        </is>
      </c>
    </row>
    <row r="2">
      <c r="A2" t="inlineStr">
        <is>
          <t>CompetitorAlpha</t>
        </is>
      </c>
      <c r="B2" t="inlineStr">
        <is>
          <t>R$ 89/seat</t>
        </is>
      </c>
      <c r="C2" t="inlineStr">
        <is>
          <t>R$ 109/seat</t>
        </is>
      </c>
      <c r="D2">
        <f>IFERROR(TEXT((VALUE(SUBSTITUTE(SUBSTITUTE(C2,"R$ ",""),"/seat",""))-VALUE(SUBSTITUTE(SUBSTITUTE(B2,"R$ ",""),"/seat","")))*10,"R$ #.##0/ano (10 seats)"),"—")</f>
        <v/>
      </c>
      <c r="E2" t="inlineStr">
        <is>
          <t>Mesmas features por 18% menos, com API inclusa sem custo extra</t>
        </is>
      </c>
      <c r="F2" t="inlineStr">
        <is>
          <t>Brand recognition forte</t>
        </is>
      </c>
      <c r="G2" t="inlineStr">
        <is>
          <t>Nossos clientes crescem 2x mais rápido no onboarding</t>
        </is>
      </c>
      <c r="H2" t="inlineStr">
        <is>
          <t>"Alpha é mais conhecida no mercado"</t>
        </is>
      </c>
      <c r="I2" t="inlineStr">
        <is>
          <t>Conhecida não significa melhor. Veja nosso NPS de 72 vs 54 deles.</t>
        </is>
      </c>
      <c r="J2" t="inlineStr">
        <is>
          <t>2026-04-27</t>
        </is>
      </c>
    </row>
    <row r="3">
      <c r="A3" t="inlineStr">
        <is>
          <t>CompetitorBeta</t>
        </is>
      </c>
      <c r="B3" t="inlineStr">
        <is>
          <t>R$ 89/seat</t>
        </is>
      </c>
      <c r="C3" t="inlineStr">
        <is>
          <t>R$ 79/seat</t>
        </is>
      </c>
      <c r="D3">
        <f>IFERROR(TEXT((VALUE(SUBSTITUTE(SUBSTITUTE(B3,"R$ ",""),"/seat",""))-VALUE(SUBSTITUTE(SUBSTITUTE(C3,"R$ ",""),"/seat","")))*10*-1,"+R$ #.##0/ano (10 seats)"),"—")</f>
        <v/>
      </c>
      <c r="E3" t="inlineStr">
        <is>
          <t>R$ 10 a mais que compra automação completa + API + usuários ilimitados</t>
        </is>
      </c>
      <c r="F3" t="inlineStr">
        <is>
          <t>Preço mais baixo do mercado</t>
        </is>
      </c>
      <c r="G3" t="inlineStr">
        <is>
          <t>Limite de 30 users e sem automação nativa. Custo real é maior.</t>
        </is>
      </c>
      <c r="H3" t="inlineStr">
        <is>
          <t>"Beta é mais barato"</t>
        </is>
      </c>
      <c r="I3" t="inlineStr">
        <is>
          <t>Sem automação, você gasta +R$50/seat em Zapier. Custo total: R$129 vs nosso R$89.</t>
        </is>
      </c>
      <c r="J3" t="inlineStr">
        <is>
          <t>2026-04-27</t>
        </is>
      </c>
    </row>
    <row r="4">
      <c r="A4" t="inlineStr">
        <is>
          <t>CompetitorGamma</t>
        </is>
      </c>
      <c r="B4" t="inlineStr">
        <is>
          <t>R$ 89/seat</t>
        </is>
      </c>
      <c r="C4" t="inlineStr">
        <is>
          <t>R$ 95/seat</t>
        </is>
      </c>
      <c r="D4">
        <f>IFERROR(TEXT((VALUE(SUBSTITUTE(SUBSTITUTE(C4,"R$ ",""),"/seat",""))-VALUE(SUBSTITUTE(SUBSTITUTE(B4,"R$ ",""),"/seat","")))*10,"R$ #.##0/ano (10 seats)"),"—")</f>
        <v/>
      </c>
      <c r="E4" t="inlineStr">
        <is>
          <t>BI nativo incluso no nosso plano, sem cobrar R$6/seat a mais</t>
        </is>
      </c>
      <c r="F4" t="inlineStr">
        <is>
          <t>Módulo de BI integrado</t>
        </is>
      </c>
      <c r="G4" t="inlineStr">
        <is>
          <t>Nosso BI é equivalente e incluso. Deles cobra separado abaixo de 50 seats.</t>
        </is>
      </c>
      <c r="H4" t="inlineStr">
        <is>
          <t>"Gamma tem BI melhor"</t>
        </is>
      </c>
      <c r="I4" t="inlineStr">
        <is>
          <t>Nosso BI cobre 95% dos casos. Para os 5% restantes, integramos com qualquer ferramenta via API.</t>
        </is>
      </c>
      <c r="J4" t="inlineStr">
        <is>
          <t>2026-04-27</t>
        </is>
      </c>
    </row>
    <row r="5">
      <c r="A5" t="inlineStr">
        <is>
          <t>CompetitorDelta</t>
        </is>
      </c>
      <c r="B5" t="inlineStr">
        <is>
          <t>R$ 89/seat</t>
        </is>
      </c>
      <c r="C5" t="inlineStr">
        <is>
          <t>R$ 115/seat</t>
        </is>
      </c>
      <c r="D5">
        <f>IFERROR(TEXT((VALUE(SUBSTITUTE(SUBSTITUTE(C5,"R$ ",""),"/seat",""))-VALUE(SUBSTITUTE(SUBSTITUTE(B5,"R$ ",""),"/seat","")))*10,"R$ #.##0/ano (10 seats)"),"—")</f>
        <v/>
      </c>
      <c r="E5" t="inlineStr">
        <is>
          <t>Economize 23% com suporte premium incluso em todos os planos</t>
        </is>
      </c>
      <c r="F5" t="inlineStr">
        <is>
          <t>Suporte white-glove dedicado</t>
        </is>
      </c>
      <c r="G5" t="inlineStr">
        <is>
          <t>Nosso suporte tem SLA de 2h em todos os planos, sem custo adicional.</t>
        </is>
      </c>
      <c r="H5" t="inlineStr">
        <is>
          <t>"Delta tem suporte melhor"</t>
        </is>
      </c>
      <c r="I5" t="inlineStr">
        <is>
          <t>Nosso SLA de 2h é garantido contratualmente. Delta cobra extra por SLA.</t>
        </is>
      </c>
      <c r="J5" t="inlineStr">
        <is>
          <t>2026-04-27</t>
        </is>
      </c>
    </row>
    <row r="6">
      <c r="A6" t="inlineStr">
        <is>
          <t>CompetitorEpsilon</t>
        </is>
      </c>
      <c r="B6" t="inlineStr">
        <is>
          <t>R$ 89/seat</t>
        </is>
      </c>
      <c r="C6" t="inlineStr">
        <is>
          <t>R$ 75/seat</t>
        </is>
      </c>
      <c r="D6">
        <f>IFERROR(TEXT((VALUE(SUBSTITUTE(SUBSTITUTE(C6,"R$ ",""),"/seat",""))-VALUE(SUBSTITUTE(SUBSTITUTE(B6,"R$ ",""),"/seat","")))*10*-1,"+R$ #.##0/ano (10 seats)"),"—")</f>
        <v/>
      </c>
      <c r="E6" t="inlineStr">
        <is>
          <t>Plataforma completa vs CRM básico — o barato sai caro quando você escala</t>
        </is>
      </c>
      <c r="F6" t="inlineStr">
        <is>
          <t>Entrada fácil com freemium</t>
        </is>
      </c>
      <c r="G6" t="inlineStr">
        <is>
          <t>Limite de 15 users. Migração forçada em 6 meses quando crescer.</t>
        </is>
      </c>
      <c r="H6" t="inlineStr">
        <is>
          <t>"Epsilon é de graça pra começar"</t>
        </is>
      </c>
      <c r="I6" t="inlineStr">
        <is>
          <t>Grátis até 15 users. Na migração, perdem dados e gastam 3 semanas. Começar certo custa R$14 a mais.</t>
        </is>
      </c>
      <c r="J6" t="inlineStr">
        <is>
          <t>2026-04-27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2026-04-27T23:53:50Z</dcterms:created>
  <dcterms:modified xmlns:dcterms="http://purl.org/dc/terms/" xmlns:xsi="http://www.w3.org/2001/XMLSchema-instance" xsi:type="dcterms:W3CDTF">2026-04-27T23:53:50Z</dcterms:modified>
</cp:coreProperties>
</file>