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📘 Instruçõe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Histórico de Preços" sheetId="3" state="visible" r:id="rId3"/>
    <sheet xmlns:r="http://schemas.openxmlformats.org/officeDocument/2006/relationships" name="Comparativo Features" sheetId="4" state="visible" r:id="rId4"/>
    <sheet xmlns:r="http://schemas.openxmlformats.org/officeDocument/2006/relationships" name="Impacto em Deals" sheetId="5" state="visible" r:id="rId5"/>
    <sheet xmlns:r="http://schemas.openxmlformats.org/officeDocument/2006/relationships" name="Checklist Monitorament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6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0b6d40"/>
      </patternFill>
    </fill>
    <fill>
      <patternFill patternType="solid">
        <fgColor rgb="001a5276"/>
      </patternFill>
    </fill>
    <fill>
      <patternFill patternType="solid">
        <fgColor rgb="007d3c98"/>
      </patternFill>
    </fill>
    <fill>
      <patternFill patternType="solid">
        <fgColor rgb="00c0392b"/>
      </patternFill>
    </fill>
    <fill>
      <patternFill patternType="solid">
        <fgColor rgb="002e86c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PriceRadar</t>
        </is>
      </c>
    </row>
    <row r="3">
      <c r="A3" t="inlineStr">
        <is>
          <t>PriceRadar — Inteligência de Preços Competitivos</t>
        </is>
      </c>
    </row>
    <row r="4">
      <c r="A4" t="inlineStr"/>
    </row>
    <row r="5">
      <c r="A5" t="inlineStr">
        <is>
          <t>1. SETUP INICIAL: Na aba 'Checklist Monitoramento', cadastre seus concorrentes com URLs das páginas de pricing e defina frequência de verificação (semanal recomendado para concorrentes diretos).</t>
        </is>
      </c>
    </row>
    <row r="6">
      <c r="A6" t="inlineStr"/>
    </row>
    <row r="7">
      <c r="A7" t="inlineStr">
        <is>
          <t>2. ROTINA SEMANAL: Visite cada pricing page na data agendada. Registre qualquer mudança na aba 'Histórico de Preços' com data, valor e fonte. Atualize o preço atual na aba 'Dashboard'.</t>
        </is>
      </c>
    </row>
    <row r="8">
      <c r="A8" t="inlineStr"/>
    </row>
    <row r="9">
      <c r="A9" t="inlineStr">
        <is>
          <t>3. DASHBOARD: A aba principal mostra alertas automáticos — ⚠️ ALERTA para variações ≥10%, 👀 Observar para ≥5%. Revise os alertas semanalmente com seu time de Sales.</t>
        </is>
      </c>
    </row>
    <row r="10">
      <c r="A10" t="inlineStr"/>
    </row>
    <row r="11">
      <c r="A11" t="inlineStr">
        <is>
          <t>4. COMPARATIVO FEATURES: Atualize trimestralmente. O Score Total ponderado mostra sua posição competitiva real. Use nas reuniões de deal review.</t>
        </is>
      </c>
    </row>
    <row r="12">
      <c r="A12" t="inlineStr"/>
    </row>
    <row r="13">
      <c r="A13" t="inlineStr">
        <is>
          <t>5. IMPACTO EM DEALS: Registre todo deal onde um concorrente aparece. Isso gera dados para decidir quando ajustar seu pricing ou criar battlecards.</t>
        </is>
      </c>
    </row>
    <row r="14">
      <c r="A14" t="inlineStr"/>
    </row>
    <row r="15">
      <c r="A15" t="inlineStr">
        <is>
          <t>6. DICA PRO: Configure Google Alerts para '[concorrente] pricing' e 'novo plano'. Adicione capturas de tela do Archive.org como backup. Compartilhe a planilha com Sales para input em tempo real.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2" t="inlineStr">
        <is>
          <t>Concorrente</t>
        </is>
      </c>
      <c r="B1" s="2" t="inlineStr">
        <is>
          <t>Plano</t>
        </is>
      </c>
      <c r="C1" s="2" t="inlineStr">
        <is>
          <t>Preço Atual (USD)</t>
        </is>
      </c>
      <c r="D1" s="2" t="inlineStr">
        <is>
          <t>Preço Anterior (USD)</t>
        </is>
      </c>
      <c r="E1" s="2" t="inlineStr">
        <is>
          <t>Variação (%)</t>
        </is>
      </c>
      <c r="F1" s="2" t="inlineStr">
        <is>
          <t>Última Verificação</t>
        </is>
      </c>
      <c r="G1" s="2" t="inlineStr">
        <is>
          <t>Tendência 6M</t>
        </is>
      </c>
      <c r="H1" s="2" t="inlineStr">
        <is>
          <t>Alerta</t>
        </is>
      </c>
    </row>
    <row r="2">
      <c r="A2" t="inlineStr">
        <is>
          <t>RivalCRM</t>
        </is>
      </c>
      <c r="B2" t="inlineStr">
        <is>
          <t>Starter</t>
        </is>
      </c>
      <c r="C2" t="inlineStr">
        <is>
          <t>29</t>
        </is>
      </c>
      <c r="D2" t="inlineStr">
        <is>
          <t>29</t>
        </is>
      </c>
      <c r="E2">
        <f>IFERROR((C2-D2)/D2*100,0)</f>
        <v/>
      </c>
      <c r="F2" t="inlineStr">
        <is>
          <t>2026-04-25</t>
        </is>
      </c>
      <c r="G2" t="inlineStr">
        <is>
          <t>Estável</t>
        </is>
      </c>
      <c r="H2">
        <f>IF(ABS(E2)&gt;=10,"⚠️ ALERTA",IF(ABS(E2)&gt;=5,"👀 Observar","✅ OK"))</f>
        <v/>
      </c>
    </row>
    <row r="3">
      <c r="A3" t="inlineStr">
        <is>
          <t>RivalCRM</t>
        </is>
      </c>
      <c r="B3" t="inlineStr">
        <is>
          <t>Pro</t>
        </is>
      </c>
      <c r="C3" t="inlineStr">
        <is>
          <t>79</t>
        </is>
      </c>
      <c r="D3" t="inlineStr">
        <is>
          <t>69</t>
        </is>
      </c>
      <c r="E3">
        <f>IFERROR((C3-D3)/D3*100,0)</f>
        <v/>
      </c>
      <c r="F3" t="inlineStr">
        <is>
          <t>2026-04-25</t>
        </is>
      </c>
      <c r="G3" t="inlineStr">
        <is>
          <t>↑ Alta</t>
        </is>
      </c>
      <c r="H3">
        <f>IF(ABS(E3)&gt;=10,"⚠️ ALERTA",IF(ABS(E3)&gt;=5,"👀 Observar","✅ OK"))</f>
        <v/>
      </c>
    </row>
    <row r="4">
      <c r="A4" t="inlineStr">
        <is>
          <t>RivalCRM</t>
        </is>
      </c>
      <c r="B4" t="inlineStr">
        <is>
          <t>Enterprise</t>
        </is>
      </c>
      <c r="C4" t="inlineStr">
        <is>
          <t>199</t>
        </is>
      </c>
      <c r="D4" t="inlineStr">
        <is>
          <t>199</t>
        </is>
      </c>
      <c r="E4">
        <f>IFERROR((C4-D4)/D4*100,0)</f>
        <v/>
      </c>
      <c r="F4" t="inlineStr">
        <is>
          <t>2026-04-25</t>
        </is>
      </c>
      <c r="G4" t="inlineStr">
        <is>
          <t>Estável</t>
        </is>
      </c>
      <c r="H4">
        <f>IF(ABS(E4)&gt;=10,"⚠️ ALERTA",IF(ABS(E4)&gt;=5,"👀 Observar","✅ OK"))</f>
        <v/>
      </c>
    </row>
    <row r="5">
      <c r="A5" t="inlineStr">
        <is>
          <t>PipelineHQ</t>
        </is>
      </c>
      <c r="B5" t="inlineStr">
        <is>
          <t>Basic</t>
        </is>
      </c>
      <c r="C5" t="inlineStr">
        <is>
          <t>19</t>
        </is>
      </c>
      <c r="D5" t="inlineStr">
        <is>
          <t>25</t>
        </is>
      </c>
      <c r="E5">
        <f>IFERROR((C5-D5)/D5*100,0)</f>
        <v/>
      </c>
      <c r="F5" t="inlineStr">
        <is>
          <t>2026-04-24</t>
        </is>
      </c>
      <c r="G5" t="inlineStr">
        <is>
          <t>↓ Baixa</t>
        </is>
      </c>
      <c r="H5">
        <f>IF(ABS(E5)&gt;=10,"⚠️ ALERTA",IF(ABS(E5)&gt;=5,"👀 Observar","✅ OK"))</f>
        <v/>
      </c>
    </row>
    <row r="6">
      <c r="A6" t="inlineStr">
        <is>
          <t>PipelineHQ</t>
        </is>
      </c>
      <c r="B6" t="inlineStr">
        <is>
          <t>Growth</t>
        </is>
      </c>
      <c r="C6" t="inlineStr">
        <is>
          <t>59</t>
        </is>
      </c>
      <c r="D6" t="inlineStr">
        <is>
          <t>59</t>
        </is>
      </c>
      <c r="E6">
        <f>IFERROR((C6-D6)/D6*100,0)</f>
        <v/>
      </c>
      <c r="F6" t="inlineStr">
        <is>
          <t>2026-04-24</t>
        </is>
      </c>
      <c r="G6" t="inlineStr">
        <is>
          <t>Estável</t>
        </is>
      </c>
      <c r="H6">
        <f>IF(ABS(E6)&gt;=10,"⚠️ ALERTA",IF(ABS(E6)&gt;=5,"👀 Observar","✅ OK"))</f>
        <v/>
      </c>
    </row>
    <row r="7">
      <c r="A7" t="inlineStr">
        <is>
          <t>PipelineHQ</t>
        </is>
      </c>
      <c r="B7" t="inlineStr">
        <is>
          <t>Scale</t>
        </is>
      </c>
      <c r="C7" t="inlineStr">
        <is>
          <t>149</t>
        </is>
      </c>
      <c r="D7" t="inlineStr">
        <is>
          <t>129</t>
        </is>
      </c>
      <c r="E7">
        <f>IFERROR((C7-D7)/D7*100,0)</f>
        <v/>
      </c>
      <c r="F7" t="inlineStr">
        <is>
          <t>2026-04-24</t>
        </is>
      </c>
      <c r="G7" t="inlineStr">
        <is>
          <t>↑ Alta</t>
        </is>
      </c>
      <c r="H7">
        <f>IF(ABS(E7)&gt;=10,"⚠️ ALERTA",IF(ABS(E7)&gt;=5,"👀 Observar","✅ OK"))</f>
        <v/>
      </c>
    </row>
    <row r="8">
      <c r="A8" t="inlineStr">
        <is>
          <t>DealFlow.io</t>
        </is>
      </c>
      <c r="B8" t="inlineStr">
        <is>
          <t>Free</t>
        </is>
      </c>
      <c r="C8" t="inlineStr">
        <is>
          <t>0</t>
        </is>
      </c>
      <c r="D8" t="inlineStr">
        <is>
          <t>0</t>
        </is>
      </c>
      <c r="E8">
        <f>IFERROR((C8-D8)/D8*100,0)</f>
        <v/>
      </c>
      <c r="F8" t="inlineStr">
        <is>
          <t>2026-04-23</t>
        </is>
      </c>
      <c r="G8" t="inlineStr">
        <is>
          <t>Estável</t>
        </is>
      </c>
      <c r="H8">
        <f>IF(ABS(E8)&gt;=10,"⚠️ ALERTA",IF(ABS(E8)&gt;=5,"👀 Observar","✅ OK"))</f>
        <v/>
      </c>
    </row>
    <row r="9">
      <c r="A9" t="inlineStr">
        <is>
          <t>DealFlow.io</t>
        </is>
      </c>
      <c r="B9" t="inlineStr">
        <is>
          <t>Team</t>
        </is>
      </c>
      <c r="C9" t="inlineStr">
        <is>
          <t>49</t>
        </is>
      </c>
      <c r="D9" t="inlineStr">
        <is>
          <t>49</t>
        </is>
      </c>
      <c r="E9">
        <f>IFERROR((C9-D9)/D9*100,0)</f>
        <v/>
      </c>
      <c r="F9" t="inlineStr">
        <is>
          <t>2026-04-23</t>
        </is>
      </c>
      <c r="G9" t="inlineStr">
        <is>
          <t>Estável</t>
        </is>
      </c>
      <c r="H9">
        <f>IF(ABS(E9)&gt;=10,"⚠️ ALERTA",IF(ABS(E9)&gt;=5,"👀 Observar","✅ OK"))</f>
        <v/>
      </c>
    </row>
    <row r="10">
      <c r="A10" t="inlineStr">
        <is>
          <t>DealFlow.io</t>
        </is>
      </c>
      <c r="B10" t="inlineStr">
        <is>
          <t>Business</t>
        </is>
      </c>
      <c r="C10" t="inlineStr">
        <is>
          <t>129</t>
        </is>
      </c>
      <c r="D10" t="inlineStr">
        <is>
          <t>99</t>
        </is>
      </c>
      <c r="E10">
        <f>IFERROR((C10-D10)/D10*100,0)</f>
        <v/>
      </c>
      <c r="F10" t="inlineStr">
        <is>
          <t>2026-04-23</t>
        </is>
      </c>
      <c r="G10" t="inlineStr">
        <is>
          <t>↑ Alta</t>
        </is>
      </c>
      <c r="H10">
        <f>IF(ABS(E10)&gt;=10,"⚠️ ALERTA",IF(ABS(E10)&gt;=5,"👀 Observar","✅ OK"))</f>
        <v/>
      </c>
    </row>
    <row r="11">
      <c r="A11" t="inlineStr">
        <is>
          <t>CloserApp</t>
        </is>
      </c>
      <c r="B11" t="inlineStr">
        <is>
          <t>Solo</t>
        </is>
      </c>
      <c r="C11" t="inlineStr">
        <is>
          <t>15</t>
        </is>
      </c>
      <c r="D11" t="inlineStr">
        <is>
          <t>19</t>
        </is>
      </c>
      <c r="E11">
        <f>IFERROR((C11-D11)/D11*100,0)</f>
        <v/>
      </c>
      <c r="F11" t="inlineStr">
        <is>
          <t>2026-04-22</t>
        </is>
      </c>
      <c r="G11" t="inlineStr">
        <is>
          <t>↓ Baixa</t>
        </is>
      </c>
      <c r="H11">
        <f>IF(ABS(E11)&gt;=10,"⚠️ ALERTA",IF(ABS(E11)&gt;=5,"👀 Observar","✅ OK"))</f>
        <v/>
      </c>
    </row>
    <row r="12">
      <c r="A12" t="inlineStr">
        <is>
          <t>CloserApp</t>
        </is>
      </c>
      <c r="B12" t="inlineStr">
        <is>
          <t>Team</t>
        </is>
      </c>
      <c r="C12" t="inlineStr">
        <is>
          <t>45</t>
        </is>
      </c>
      <c r="D12" t="inlineStr">
        <is>
          <t>45</t>
        </is>
      </c>
      <c r="E12">
        <f>IFERROR((C12-D12)/D12*100,0)</f>
        <v/>
      </c>
      <c r="F12" t="inlineStr">
        <is>
          <t>2026-04-22</t>
        </is>
      </c>
      <c r="G12" t="inlineStr">
        <is>
          <t>Estável</t>
        </is>
      </c>
      <c r="H12">
        <f>IF(ABS(E12)&gt;=10,"⚠️ ALERTA",IF(ABS(E12)&gt;=5,"👀 Observar","✅ OK"))</f>
        <v/>
      </c>
    </row>
    <row r="13">
      <c r="A13" t="inlineStr">
        <is>
          <t>CloserApp</t>
        </is>
      </c>
      <c r="B13" t="inlineStr">
        <is>
          <t>Business</t>
        </is>
      </c>
      <c r="C13" t="inlineStr">
        <is>
          <t>119</t>
        </is>
      </c>
      <c r="D13" t="inlineStr">
        <is>
          <t>109</t>
        </is>
      </c>
      <c r="E13">
        <f>IFERROR((C13-D13)/D13*100,0)</f>
        <v/>
      </c>
      <c r="F13" t="inlineStr">
        <is>
          <t>2026-04-22</t>
        </is>
      </c>
      <c r="G13" t="inlineStr">
        <is>
          <t>↑ Alta</t>
        </is>
      </c>
      <c r="H13">
        <f>IF(ABS(E13)&gt;=10,"⚠️ ALERTA",IF(ABS(E13)&gt;=5,"👀 Observar","✅ OK"))</f>
        <v/>
      </c>
    </row>
    <row r="15">
      <c r="C15">
        <f>AVERAGE(C2:C13)</f>
        <v/>
      </c>
    </row>
    <row r="16">
      <c r="C16">
        <f>COUNTIF(H2:H13,"⚠️ ALERTA")</f>
        <v/>
      </c>
    </row>
    <row r="17">
      <c r="C17">
        <f>COUNTIF(H2:H13,"👀 Observar")</f>
        <v/>
      </c>
    </row>
    <row r="18">
      <c r="C18">
        <f>MAX(E2:E13)</f>
        <v/>
      </c>
    </row>
    <row r="19">
      <c r="C19">
        <f>MIN(E2:E13)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3" t="inlineStr">
        <is>
          <t>Data</t>
        </is>
      </c>
      <c r="B1" s="3" t="inlineStr">
        <is>
          <t>Concorrente</t>
        </is>
      </c>
      <c r="C1" s="3" t="inlineStr">
        <is>
          <t>Plano</t>
        </is>
      </c>
      <c r="D1" s="3" t="inlineStr">
        <is>
          <t>Preço (USD)</t>
        </is>
      </c>
      <c r="E1" s="3" t="inlineStr">
        <is>
          <t>Modelo</t>
        </is>
      </c>
      <c r="F1" s="3" t="inlineStr">
        <is>
          <t>Billing Cycle</t>
        </is>
      </c>
      <c r="G1" s="3" t="inlineStr">
        <is>
          <t>Fonte</t>
        </is>
      </c>
      <c r="H1" s="3" t="inlineStr">
        <is>
          <t>Observação</t>
        </is>
      </c>
      <c r="I1" t="inlineStr">
        <is>
          <t>Registros</t>
        </is>
      </c>
    </row>
    <row r="2">
      <c r="A2" t="inlineStr">
        <is>
          <t>2026-04-25</t>
        </is>
      </c>
      <c r="B2" t="inlineStr">
        <is>
          <t>RivalCRM</t>
        </is>
      </c>
      <c r="C2" t="inlineStr">
        <is>
          <t>Pro</t>
        </is>
      </c>
      <c r="D2" t="inlineStr">
        <is>
          <t>79</t>
        </is>
      </c>
      <c r="E2" t="inlineStr">
        <is>
          <t>Per user/mês</t>
        </is>
      </c>
      <c r="F2" t="inlineStr">
        <is>
          <t>Mensal</t>
        </is>
      </c>
      <c r="G2" t="inlineStr">
        <is>
          <t>Pricing page</t>
        </is>
      </c>
      <c r="H2" t="inlineStr">
        <is>
          <t>Aumento de $10 vs mês anterior</t>
        </is>
      </c>
      <c r="I2">
        <f>COUNTIFS(B:B,B2,C:C,C2)</f>
        <v/>
      </c>
    </row>
    <row r="3">
      <c r="A3" t="inlineStr">
        <is>
          <t>2026-03-20</t>
        </is>
      </c>
      <c r="B3" t="inlineStr">
        <is>
          <t>RivalCRM</t>
        </is>
      </c>
      <c r="C3" t="inlineStr">
        <is>
          <t>Pro</t>
        </is>
      </c>
      <c r="D3" t="inlineStr">
        <is>
          <t>69</t>
        </is>
      </c>
      <c r="E3" t="inlineStr">
        <is>
          <t>Per user/mês</t>
        </is>
      </c>
      <c r="F3" t="inlineStr">
        <is>
          <t>Mensal</t>
        </is>
      </c>
      <c r="G3" t="inlineStr">
        <is>
          <t>Pricing page</t>
        </is>
      </c>
      <c r="H3" t="inlineStr"/>
    </row>
    <row r="4">
      <c r="A4" t="inlineStr">
        <is>
          <t>2026-02-15</t>
        </is>
      </c>
      <c r="B4" t="inlineStr">
        <is>
          <t>RivalCRM</t>
        </is>
      </c>
      <c r="C4" t="inlineStr">
        <is>
          <t>Pro</t>
        </is>
      </c>
      <c r="D4" t="inlineStr">
        <is>
          <t>69</t>
        </is>
      </c>
      <c r="E4" t="inlineStr">
        <is>
          <t>Per user/mês</t>
        </is>
      </c>
      <c r="F4" t="inlineStr">
        <is>
          <t>Mensal</t>
        </is>
      </c>
      <c r="G4" t="inlineStr">
        <is>
          <t>Pricing page</t>
        </is>
      </c>
      <c r="H4" t="inlineStr"/>
    </row>
    <row r="5">
      <c r="A5" t="inlineStr">
        <is>
          <t>2026-04-24</t>
        </is>
      </c>
      <c r="B5" t="inlineStr">
        <is>
          <t>PipelineHQ</t>
        </is>
      </c>
      <c r="C5" t="inlineStr">
        <is>
          <t>Basic</t>
        </is>
      </c>
      <c r="D5" t="inlineStr">
        <is>
          <t>19</t>
        </is>
      </c>
      <c r="E5" t="inlineStr">
        <is>
          <t>Flat/mês</t>
        </is>
      </c>
      <c r="F5" t="inlineStr">
        <is>
          <t>Mensal</t>
        </is>
      </c>
      <c r="G5" t="inlineStr">
        <is>
          <t>Pricing page</t>
        </is>
      </c>
      <c r="H5" t="inlineStr">
        <is>
          <t>Reduziu de $25 — possível promoção</t>
        </is>
      </c>
    </row>
    <row r="6">
      <c r="A6" t="inlineStr">
        <is>
          <t>2026-03-18</t>
        </is>
      </c>
      <c r="B6" t="inlineStr">
        <is>
          <t>PipelineHQ</t>
        </is>
      </c>
      <c r="C6" t="inlineStr">
        <is>
          <t>Basic</t>
        </is>
      </c>
      <c r="D6" t="inlineStr">
        <is>
          <t>25</t>
        </is>
      </c>
      <c r="E6" t="inlineStr">
        <is>
          <t>Flat/mês</t>
        </is>
      </c>
      <c r="F6" t="inlineStr">
        <is>
          <t>Mensal</t>
        </is>
      </c>
      <c r="G6" t="inlineStr">
        <is>
          <t>Pricing page</t>
        </is>
      </c>
      <c r="H6" t="inlineStr"/>
    </row>
    <row r="7">
      <c r="A7" t="inlineStr">
        <is>
          <t>2026-04-24</t>
        </is>
      </c>
      <c r="B7" t="inlineStr">
        <is>
          <t>PipelineHQ</t>
        </is>
      </c>
      <c r="C7" t="inlineStr">
        <is>
          <t>Scale</t>
        </is>
      </c>
      <c r="D7" t="inlineStr">
        <is>
          <t>149</t>
        </is>
      </c>
      <c r="E7" t="inlineStr">
        <is>
          <t>Per user/mês</t>
        </is>
      </c>
      <c r="F7" t="inlineStr">
        <is>
          <t>Mensal</t>
        </is>
      </c>
      <c r="G7" t="inlineStr">
        <is>
          <t>Pricing page</t>
        </is>
      </c>
      <c r="H7" t="inlineStr">
        <is>
          <t>Subiu $20 e adicionou features</t>
        </is>
      </c>
    </row>
    <row r="8">
      <c r="A8" t="inlineStr">
        <is>
          <t>2026-03-10</t>
        </is>
      </c>
      <c r="B8" t="inlineStr">
        <is>
          <t>PipelineHQ</t>
        </is>
      </c>
      <c r="C8" t="inlineStr">
        <is>
          <t>Scale</t>
        </is>
      </c>
      <c r="D8" t="inlineStr">
        <is>
          <t>129</t>
        </is>
      </c>
      <c r="E8" t="inlineStr">
        <is>
          <t>Per user/mês</t>
        </is>
      </c>
      <c r="F8" t="inlineStr">
        <is>
          <t>Mensal</t>
        </is>
      </c>
      <c r="G8" t="inlineStr">
        <is>
          <t>Pricing page</t>
        </is>
      </c>
      <c r="H8" t="inlineStr"/>
    </row>
    <row r="9">
      <c r="A9" t="inlineStr">
        <is>
          <t>2026-04-23</t>
        </is>
      </c>
      <c r="B9" t="inlineStr">
        <is>
          <t>DealFlow.io</t>
        </is>
      </c>
      <c r="C9" t="inlineStr">
        <is>
          <t>Business</t>
        </is>
      </c>
      <c r="D9" t="inlineStr">
        <is>
          <t>129</t>
        </is>
      </c>
      <c r="E9" t="inlineStr">
        <is>
          <t>Flat/mês</t>
        </is>
      </c>
      <c r="F9" t="inlineStr">
        <is>
          <t>Mensal</t>
        </is>
      </c>
      <c r="G9" t="inlineStr">
        <is>
          <t>Pricing page</t>
        </is>
      </c>
      <c r="H9" t="inlineStr">
        <is>
          <t>Aumento agressivo de 30%</t>
        </is>
      </c>
    </row>
    <row r="10">
      <c r="A10" t="inlineStr">
        <is>
          <t>2026-03-05</t>
        </is>
      </c>
      <c r="B10" t="inlineStr">
        <is>
          <t>DealFlow.io</t>
        </is>
      </c>
      <c r="C10" t="inlineStr">
        <is>
          <t>Business</t>
        </is>
      </c>
      <c r="D10" t="inlineStr">
        <is>
          <t>99</t>
        </is>
      </c>
      <c r="E10" t="inlineStr">
        <is>
          <t>Flat/mês</t>
        </is>
      </c>
      <c r="F10" t="inlineStr">
        <is>
          <t>Mensal</t>
        </is>
      </c>
      <c r="G10" t="inlineStr">
        <is>
          <t>Pricing page</t>
        </is>
      </c>
      <c r="H10" t="inlineStr"/>
    </row>
    <row r="11">
      <c r="A11" t="inlineStr">
        <is>
          <t>2026-01-10</t>
        </is>
      </c>
      <c r="B11" t="inlineStr">
        <is>
          <t>DealFlow.io</t>
        </is>
      </c>
      <c r="C11" t="inlineStr">
        <is>
          <t>Business</t>
        </is>
      </c>
      <c r="D11" t="inlineStr">
        <is>
          <t>89</t>
        </is>
      </c>
      <c r="E11" t="inlineStr">
        <is>
          <t>Flat/mês</t>
        </is>
      </c>
      <c r="F11" t="inlineStr">
        <is>
          <t>Mensal</t>
        </is>
      </c>
      <c r="G11" t="inlineStr">
        <is>
          <t>Pricing page</t>
        </is>
      </c>
      <c r="H11" t="inlineStr"/>
    </row>
    <row r="12">
      <c r="A12" t="inlineStr">
        <is>
          <t>2026-04-22</t>
        </is>
      </c>
      <c r="B12" t="inlineStr">
        <is>
          <t>CloserApp</t>
        </is>
      </c>
      <c r="C12" t="inlineStr">
        <is>
          <t>Solo</t>
        </is>
      </c>
      <c r="D12" t="inlineStr">
        <is>
          <t>15</t>
        </is>
      </c>
      <c r="E12" t="inlineStr">
        <is>
          <t>Flat/mês</t>
        </is>
      </c>
      <c r="F12" t="inlineStr">
        <is>
          <t>Mensal</t>
        </is>
      </c>
      <c r="G12" t="inlineStr">
        <is>
          <t>Pricing page</t>
        </is>
      </c>
      <c r="H12" t="inlineStr">
        <is>
          <t>Baixou preço — guerra de preço no entry level</t>
        </is>
      </c>
    </row>
    <row r="13">
      <c r="A13" t="inlineStr">
        <is>
          <t>2026-03-01</t>
        </is>
      </c>
      <c r="B13" t="inlineStr">
        <is>
          <t>CloserApp</t>
        </is>
      </c>
      <c r="C13" t="inlineStr">
        <is>
          <t>Solo</t>
        </is>
      </c>
      <c r="D13" t="inlineStr">
        <is>
          <t>19</t>
        </is>
      </c>
      <c r="E13" t="inlineStr">
        <is>
          <t>Flat/mês</t>
        </is>
      </c>
      <c r="F13" t="inlineStr">
        <is>
          <t>Mensal</t>
        </is>
      </c>
      <c r="G13" t="inlineStr">
        <is>
          <t>Pricing page</t>
        </is>
      </c>
      <c r="H13" t="inlineStr"/>
    </row>
    <row r="14">
      <c r="A14" t="inlineStr">
        <is>
          <t>2026-04-22</t>
        </is>
      </c>
      <c r="B14" t="inlineStr">
        <is>
          <t>CloserApp</t>
        </is>
      </c>
      <c r="C14" t="inlineStr">
        <is>
          <t>Business</t>
        </is>
      </c>
      <c r="D14" t="inlineStr">
        <is>
          <t>119</t>
        </is>
      </c>
      <c r="E14" t="inlineStr">
        <is>
          <t>Per user/mês</t>
        </is>
      </c>
      <c r="F14" t="inlineStr">
        <is>
          <t>Anual</t>
        </is>
      </c>
      <c r="G14" t="inlineStr">
        <is>
          <t>Sales call</t>
        </is>
      </c>
      <c r="H14" t="inlineStr">
        <is>
          <t>Preço anual com desconto de 15%</t>
        </is>
      </c>
    </row>
    <row r="15">
      <c r="A15" t="inlineStr">
        <is>
          <t>2026-03-01</t>
        </is>
      </c>
      <c r="B15" t="inlineStr">
        <is>
          <t>CloserApp</t>
        </is>
      </c>
      <c r="C15" t="inlineStr">
        <is>
          <t>Business</t>
        </is>
      </c>
      <c r="D15" t="inlineStr">
        <is>
          <t>109</t>
        </is>
      </c>
      <c r="E15" t="inlineStr">
        <is>
          <t>Per user/mês</t>
        </is>
      </c>
      <c r="F15" t="inlineStr">
        <is>
          <t>Anual</t>
        </is>
      </c>
      <c r="G15" t="inlineStr">
        <is>
          <t>Email mkt</t>
        </is>
      </c>
      <c r="H1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4" t="inlineStr">
        <is>
          <t>Feature</t>
        </is>
      </c>
      <c r="B1" s="4" t="inlineStr">
        <is>
          <t>Nosso Produto</t>
        </is>
      </c>
      <c r="C1" s="4" t="inlineStr">
        <is>
          <t>RivalCRM</t>
        </is>
      </c>
      <c r="D1" s="4" t="inlineStr">
        <is>
          <t>PipelineHQ</t>
        </is>
      </c>
      <c r="E1" s="4" t="inlineStr">
        <is>
          <t>DealFlow.io</t>
        </is>
      </c>
      <c r="F1" s="4" t="inlineStr">
        <is>
          <t>CloserApp</t>
        </is>
      </c>
      <c r="G1" s="4" t="inlineStr">
        <is>
          <t>Peso Estratégico (1-5)</t>
        </is>
      </c>
    </row>
    <row r="2">
      <c r="A2" t="inlineStr">
        <is>
          <t>CRM básico</t>
        </is>
      </c>
      <c r="B2" t="inlineStr">
        <is>
          <t>✅</t>
        </is>
      </c>
      <c r="C2" t="inlineStr">
        <is>
          <t>✅</t>
        </is>
      </c>
      <c r="D2" t="inlineStr">
        <is>
          <t>✅</t>
        </is>
      </c>
      <c r="E2" t="inlineStr">
        <is>
          <t>✅</t>
        </is>
      </c>
      <c r="F2" t="inlineStr">
        <is>
          <t>✅</t>
        </is>
      </c>
      <c r="G2" t="inlineStr">
        <is>
          <t>3</t>
        </is>
      </c>
    </row>
    <row r="3">
      <c r="A3" t="inlineStr">
        <is>
          <t>Pipeline visual</t>
        </is>
      </c>
      <c r="B3" t="inlineStr">
        <is>
          <t>✅</t>
        </is>
      </c>
      <c r="C3" t="inlineStr">
        <is>
          <t>✅</t>
        </is>
      </c>
      <c r="D3" t="inlineStr">
        <is>
          <t>✅</t>
        </is>
      </c>
      <c r="E3" t="inlineStr">
        <is>
          <t>❌</t>
        </is>
      </c>
      <c r="F3" t="inlineStr">
        <is>
          <t>✅</t>
        </is>
      </c>
      <c r="G3" t="inlineStr">
        <is>
          <t>4</t>
        </is>
      </c>
    </row>
    <row r="4">
      <c r="A4" t="inlineStr">
        <is>
          <t>Automação de emails</t>
        </is>
      </c>
      <c r="B4" t="inlineStr">
        <is>
          <t>✅</t>
        </is>
      </c>
      <c r="C4" t="inlineStr">
        <is>
          <t>✅</t>
        </is>
      </c>
      <c r="D4" t="inlineStr">
        <is>
          <t>✅</t>
        </is>
      </c>
      <c r="E4" t="inlineStr">
        <is>
          <t>✅</t>
        </is>
      </c>
      <c r="F4" t="inlineStr">
        <is>
          <t>❌</t>
        </is>
      </c>
      <c r="G4" t="inlineStr">
        <is>
          <t>5</t>
        </is>
      </c>
    </row>
    <row r="5">
      <c r="A5" t="inlineStr">
        <is>
          <t>Relatórios avançados</t>
        </is>
      </c>
      <c r="B5" t="inlineStr">
        <is>
          <t>✅</t>
        </is>
      </c>
      <c r="C5" t="inlineStr">
        <is>
          <t>✅</t>
        </is>
      </c>
      <c r="D5" t="inlineStr">
        <is>
          <t>❌</t>
        </is>
      </c>
      <c r="E5" t="inlineStr">
        <is>
          <t>✅</t>
        </is>
      </c>
      <c r="F5" t="inlineStr">
        <is>
          <t>❌</t>
        </is>
      </c>
      <c r="G5" t="inlineStr">
        <is>
          <t>4</t>
        </is>
      </c>
    </row>
    <row r="6">
      <c r="A6" t="inlineStr">
        <is>
          <t>Integrações (Slack, Zapier)</t>
        </is>
      </c>
      <c r="B6" t="inlineStr">
        <is>
          <t>✅</t>
        </is>
      </c>
      <c r="C6" t="inlineStr">
        <is>
          <t>✅</t>
        </is>
      </c>
      <c r="D6" t="inlineStr">
        <is>
          <t>✅</t>
        </is>
      </c>
      <c r="E6" t="inlineStr">
        <is>
          <t>✅</t>
        </is>
      </c>
      <c r="F6" t="inlineStr">
        <is>
          <t>✅</t>
        </is>
      </c>
      <c r="G6" t="inlineStr">
        <is>
          <t>3</t>
        </is>
      </c>
    </row>
    <row r="7">
      <c r="A7" t="inlineStr">
        <is>
          <t>API aberta</t>
        </is>
      </c>
      <c r="B7" t="inlineStr">
        <is>
          <t>✅</t>
        </is>
      </c>
      <c r="C7" t="inlineStr">
        <is>
          <t>✅</t>
        </is>
      </c>
      <c r="D7" t="inlineStr">
        <is>
          <t>❌</t>
        </is>
      </c>
      <c r="E7" t="inlineStr">
        <is>
          <t>✅</t>
        </is>
      </c>
      <c r="F7" t="inlineStr">
        <is>
          <t>❌</t>
        </is>
      </c>
      <c r="G7" t="inlineStr">
        <is>
          <t>4</t>
        </is>
      </c>
    </row>
    <row r="8">
      <c r="A8" t="inlineStr">
        <is>
          <t>Onboarding white-glove</t>
        </is>
      </c>
      <c r="B8" t="inlineStr">
        <is>
          <t>❌</t>
        </is>
      </c>
      <c r="C8" t="inlineStr">
        <is>
          <t>✅</t>
        </is>
      </c>
      <c r="D8" t="inlineStr">
        <is>
          <t>❌</t>
        </is>
      </c>
      <c r="E8" t="inlineStr">
        <is>
          <t>❌</t>
        </is>
      </c>
      <c r="F8" t="inlineStr">
        <is>
          <t>❌</t>
        </is>
      </c>
      <c r="G8" t="inlineStr">
        <is>
          <t>2</t>
        </is>
      </c>
    </row>
    <row r="9">
      <c r="A9" t="inlineStr">
        <is>
          <t>Mobile app nativo</t>
        </is>
      </c>
      <c r="B9" t="inlineStr">
        <is>
          <t>✅</t>
        </is>
      </c>
      <c r="C9" t="inlineStr">
        <is>
          <t>❌</t>
        </is>
      </c>
      <c r="D9" t="inlineStr">
        <is>
          <t>✅</t>
        </is>
      </c>
      <c r="E9" t="inlineStr">
        <is>
          <t>✅</t>
        </is>
      </c>
      <c r="F9" t="inlineStr">
        <is>
          <t>❌</t>
        </is>
      </c>
      <c r="G9" t="inlineStr">
        <is>
          <t>3</t>
        </is>
      </c>
    </row>
    <row r="10">
      <c r="A10" t="inlineStr">
        <is>
          <t>Multi-idioma</t>
        </is>
      </c>
      <c r="B10" t="inlineStr">
        <is>
          <t>✅</t>
        </is>
      </c>
      <c r="C10" t="inlineStr">
        <is>
          <t>❌</t>
        </is>
      </c>
      <c r="D10" t="inlineStr">
        <is>
          <t>❌</t>
        </is>
      </c>
      <c r="E10" t="inlineStr">
        <is>
          <t>✅</t>
        </is>
      </c>
      <c r="F10" t="inlineStr">
        <is>
          <t>❌</t>
        </is>
      </c>
      <c r="G10" t="inlineStr">
        <is>
          <t>2</t>
        </is>
      </c>
    </row>
    <row r="11">
      <c r="A11" t="inlineStr">
        <is>
          <t>Score de lead (AI)</t>
        </is>
      </c>
      <c r="B11" t="inlineStr">
        <is>
          <t>✅</t>
        </is>
      </c>
      <c r="C11" t="inlineStr">
        <is>
          <t>✅</t>
        </is>
      </c>
      <c r="D11" t="inlineStr">
        <is>
          <t>❌</t>
        </is>
      </c>
      <c r="E11" t="inlineStr">
        <is>
          <t>❌</t>
        </is>
      </c>
      <c r="F11" t="inlineStr">
        <is>
          <t>❌</t>
        </is>
      </c>
      <c r="G11" t="inlineStr">
        <is>
          <t>5</t>
        </is>
      </c>
    </row>
    <row r="12">
      <c r="A12" t="inlineStr">
        <is>
          <t>Preço plano comparável (Pro)</t>
        </is>
      </c>
      <c r="B12" t="inlineStr">
        <is>
          <t>$59</t>
        </is>
      </c>
      <c r="C12" t="inlineStr">
        <is>
          <t>$79</t>
        </is>
      </c>
      <c r="D12" t="inlineStr">
        <is>
          <t>$59</t>
        </is>
      </c>
      <c r="E12" t="inlineStr">
        <is>
          <t>$49</t>
        </is>
      </c>
      <c r="F12" t="inlineStr">
        <is>
          <t>$45</t>
        </is>
      </c>
      <c r="G12" t="inlineStr"/>
    </row>
    <row r="13">
      <c r="A13" t="inlineStr">
        <is>
          <t>SCORE TOTAL</t>
        </is>
      </c>
      <c r="B13">
        <f>SUMPRODUCT((B2:B10="✅")*1,G2:G10)</f>
        <v/>
      </c>
      <c r="C13">
        <f>SUMPRODUCT((C2:C10="✅")*1,G2:G10)</f>
        <v/>
      </c>
      <c r="D13">
        <f>SUMPRODUCT((D2:D10="✅")*1,G2:G10)</f>
        <v/>
      </c>
      <c r="E13">
        <f>SUMPRODUCT((E2:E10="✅")*1,G2:G10)</f>
        <v/>
      </c>
      <c r="F13">
        <f>SUMPRODUCT((F2:F10="✅")*1,G2:G10)</f>
        <v/>
      </c>
      <c r="G13" t="inlineStr"/>
    </row>
    <row r="14">
      <c r="B14">
        <f>COUNTIF(B2:B10,"✅")</f>
        <v/>
      </c>
      <c r="C14">
        <f>COUNTIF(C2:C10,"✅")</f>
        <v/>
      </c>
      <c r="D14">
        <f>COUNTIF(D2:D10,"✅")</f>
        <v/>
      </c>
      <c r="E14">
        <f>COUNTIF(E2:E10,"✅")</f>
        <v/>
      </c>
      <c r="F14">
        <f>COUNTIF(F2:F10,"✅")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5" t="inlineStr">
        <is>
          <t>Deal</t>
        </is>
      </c>
      <c r="B1" s="5" t="inlineStr">
        <is>
          <t>Valor (ARR)</t>
        </is>
      </c>
      <c r="C1" s="5" t="inlineStr">
        <is>
          <t>Concorrente no Deal</t>
        </is>
      </c>
      <c r="D1" s="5" t="inlineStr">
        <is>
          <t>Plano Concorrente</t>
        </is>
      </c>
      <c r="E1" s="5" t="inlineStr">
        <is>
          <t>Preço Concorrente</t>
        </is>
      </c>
      <c r="F1" s="5" t="inlineStr">
        <is>
          <t>Nosso Preço</t>
        </is>
      </c>
      <c r="G1" s="5" t="inlineStr">
        <is>
          <t>Delta (%)</t>
        </is>
      </c>
      <c r="H1" s="5" t="inlineStr">
        <is>
          <t>Status Deal</t>
        </is>
      </c>
      <c r="I1" s="5" t="inlineStr">
        <is>
          <t>Ação Tomada</t>
        </is>
      </c>
      <c r="J1" s="5" t="inlineStr">
        <is>
          <t>Resultado</t>
        </is>
      </c>
    </row>
    <row r="2">
      <c r="A2" t="inlineStr">
        <is>
          <t>Acme Corp</t>
        </is>
      </c>
      <c r="B2" t="inlineStr">
        <is>
          <t>14400</t>
        </is>
      </c>
      <c r="C2" t="inlineStr">
        <is>
          <t>RivalCRM</t>
        </is>
      </c>
      <c r="D2" t="inlineStr">
        <is>
          <t>Pro</t>
        </is>
      </c>
      <c r="E2" t="inlineStr">
        <is>
          <t>79</t>
        </is>
      </c>
      <c r="F2" t="inlineStr">
        <is>
          <t>59</t>
        </is>
      </c>
      <c r="G2">
        <f>IFERROR((F2-E2)/E2*100,0)</f>
        <v/>
      </c>
      <c r="H2" t="inlineStr">
        <is>
          <t>Em negociação</t>
        </is>
      </c>
      <c r="I2" t="inlineStr">
        <is>
          <t>Destacar ROI e features extras</t>
        </is>
      </c>
      <c r="J2" t="inlineStr"/>
    </row>
    <row r="3">
      <c r="A3" t="inlineStr">
        <is>
          <t>Beta Ltd</t>
        </is>
      </c>
      <c r="B3" t="inlineStr">
        <is>
          <t>8400</t>
        </is>
      </c>
      <c r="C3" t="inlineStr">
        <is>
          <t>PipelineHQ</t>
        </is>
      </c>
      <c r="D3" t="inlineStr">
        <is>
          <t>Basic</t>
        </is>
      </c>
      <c r="E3" t="inlineStr">
        <is>
          <t>19</t>
        </is>
      </c>
      <c r="F3" t="inlineStr">
        <is>
          <t>29</t>
        </is>
      </c>
      <c r="G3">
        <f>IFERROR((F3-E3)/E3*100,0)</f>
        <v/>
      </c>
      <c r="H3" t="inlineStr">
        <is>
          <t>Perdido</t>
        </is>
      </c>
      <c r="I3" t="inlineStr">
        <is>
          <t>Preço não competitivo no entry</t>
        </is>
      </c>
      <c r="J3" t="inlineStr">
        <is>
          <t>Criar plano Starter a $19</t>
        </is>
      </c>
    </row>
    <row r="4">
      <c r="A4" t="inlineStr">
        <is>
          <t>Gama SA</t>
        </is>
      </c>
      <c r="B4" t="inlineStr">
        <is>
          <t>21600</t>
        </is>
      </c>
      <c r="C4" t="inlineStr">
        <is>
          <t>DealFlow.io</t>
        </is>
      </c>
      <c r="D4" t="inlineStr">
        <is>
          <t>Business</t>
        </is>
      </c>
      <c r="E4" t="inlineStr">
        <is>
          <t>129</t>
        </is>
      </c>
      <c r="F4" t="inlineStr">
        <is>
          <t>99</t>
        </is>
      </c>
      <c r="G4">
        <f>IFERROR((F4-E4)/E4*100,0)</f>
        <v/>
      </c>
      <c r="H4" t="inlineStr">
        <is>
          <t>Ganho</t>
        </is>
      </c>
      <c r="I4" t="inlineStr">
        <is>
          <t>Menor preço + melhor feature set</t>
        </is>
      </c>
      <c r="J4" t="inlineStr">
        <is>
          <t>Fechado em 12 dias</t>
        </is>
      </c>
    </row>
    <row r="5">
      <c r="A5" t="inlineStr">
        <is>
          <t>Delta Inc</t>
        </is>
      </c>
      <c r="B5" t="inlineStr">
        <is>
          <t>7200</t>
        </is>
      </c>
      <c r="C5" t="inlineStr">
        <is>
          <t>CloserApp</t>
        </is>
      </c>
      <c r="D5" t="inlineStr">
        <is>
          <t>Solo</t>
        </is>
      </c>
      <c r="E5" t="inlineStr">
        <is>
          <t>15</t>
        </is>
      </c>
      <c r="F5" t="inlineStr">
        <is>
          <t>29</t>
        </is>
      </c>
      <c r="G5">
        <f>IFERROR((F5-E5)/E5*100,0)</f>
        <v/>
      </c>
      <c r="H5" t="inlineStr">
        <is>
          <t>Em negociação</t>
        </is>
      </c>
      <c r="I5" t="inlineStr">
        <is>
          <t>Oferecer trial estendido 30d</t>
        </is>
      </c>
      <c r="J5" t="inlineStr"/>
    </row>
    <row r="6">
      <c r="A6" t="inlineStr">
        <is>
          <t>Epsilon Co</t>
        </is>
      </c>
      <c r="B6" t="inlineStr">
        <is>
          <t>36000</t>
        </is>
      </c>
      <c r="C6" t="inlineStr">
        <is>
          <t>RivalCRM</t>
        </is>
      </c>
      <c r="D6" t="inlineStr">
        <is>
          <t>Enterprise</t>
        </is>
      </c>
      <c r="E6" t="inlineStr">
        <is>
          <t>199</t>
        </is>
      </c>
      <c r="F6" t="inlineStr">
        <is>
          <t>179</t>
        </is>
      </c>
      <c r="G6">
        <f>IFERROR((F6-E6)/E6*100,0)</f>
        <v/>
      </c>
      <c r="H6" t="inlineStr">
        <is>
          <t>Ganho</t>
        </is>
      </c>
      <c r="I6" t="inlineStr">
        <is>
          <t>Match de preço + onboarding grátis</t>
        </is>
      </c>
      <c r="J6" t="inlineStr">
        <is>
          <t>Upsell para anual</t>
        </is>
      </c>
    </row>
    <row r="7">
      <c r="A7" t="inlineStr">
        <is>
          <t>Zeta Tech</t>
        </is>
      </c>
      <c r="B7" t="inlineStr">
        <is>
          <t>12000</t>
        </is>
      </c>
      <c r="C7" t="inlineStr">
        <is>
          <t>PipelineHQ</t>
        </is>
      </c>
      <c r="D7" t="inlineStr">
        <is>
          <t>Scale</t>
        </is>
      </c>
      <c r="E7" t="inlineStr">
        <is>
          <t>149</t>
        </is>
      </c>
      <c r="F7" t="inlineStr">
        <is>
          <t>99</t>
        </is>
      </c>
      <c r="G7">
        <f>IFERROR((F7-E7)/E7*100,0)</f>
        <v/>
      </c>
      <c r="H7" t="inlineStr">
        <is>
          <t>Em negociação</t>
        </is>
      </c>
      <c r="I7" t="inlineStr">
        <is>
          <t>Preço muito abaixo — enfatizar valor</t>
        </is>
      </c>
      <c r="J7" t="inlineStr"/>
    </row>
    <row r="8">
      <c r="A8" t="inlineStr">
        <is>
          <t>Eta Global</t>
        </is>
      </c>
      <c r="B8" t="inlineStr">
        <is>
          <t>28800</t>
        </is>
      </c>
      <c r="C8" t="inlineStr">
        <is>
          <t>DealFlow.io</t>
        </is>
      </c>
      <c r="D8" t="inlineStr">
        <is>
          <t>Business</t>
        </is>
      </c>
      <c r="E8" t="inlineStr">
        <is>
          <t>129</t>
        </is>
      </c>
      <c r="F8" t="inlineStr">
        <is>
          <t>99</t>
        </is>
      </c>
      <c r="G8">
        <f>IFERROR((F8-E8)/E8*100,0)</f>
        <v/>
      </c>
      <c r="H8" t="inlineStr">
        <is>
          <t>Proposta enviada</t>
        </is>
      </c>
      <c r="I8" t="inlineStr">
        <is>
          <t>Desconto 10% para anual</t>
        </is>
      </c>
      <c r="J8" t="inlineStr"/>
    </row>
    <row r="9">
      <c r="A9" t="inlineStr">
        <is>
          <t>Theta SaaS</t>
        </is>
      </c>
      <c r="B9" t="inlineStr">
        <is>
          <t>4800</t>
        </is>
      </c>
      <c r="C9" t="inlineStr">
        <is>
          <t>CloserApp</t>
        </is>
      </c>
      <c r="D9" t="inlineStr">
        <is>
          <t>Team</t>
        </is>
      </c>
      <c r="E9" t="inlineStr">
        <is>
          <t>45</t>
        </is>
      </c>
      <c r="F9" t="inlineStr">
        <is>
          <t>59</t>
        </is>
      </c>
      <c r="G9">
        <f>IFERROR((F9-E9)/E9*100,0)</f>
        <v/>
      </c>
      <c r="H9" t="inlineStr">
        <is>
          <t>Perdido</t>
        </is>
      </c>
      <c r="I9" t="inlineStr">
        <is>
          <t>Sem margem para desconto</t>
        </is>
      </c>
      <c r="J9" t="inlineStr">
        <is>
          <t>Revisar pricing do plano Growth</t>
        </is>
      </c>
    </row>
    <row r="10">
      <c r="B10">
        <f>SUM(B2:B9)</f>
        <v/>
      </c>
      <c r="E10">
        <f>AVERAGE(E2:E9)</f>
        <v/>
      </c>
      <c r="F10">
        <f>AVERAGE(F2:F9)</f>
        <v/>
      </c>
    </row>
    <row r="11">
      <c r="B11">
        <f>SUMIFS(B2:B9,H2:H9,"Ganho")</f>
        <v/>
      </c>
    </row>
    <row r="12">
      <c r="B12">
        <f>SUMIFS(B2:B9,H2:H9,"Perdido")</f>
        <v/>
      </c>
    </row>
    <row r="13">
      <c r="B13">
        <f>IFERROR(B11/B10*100,0)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Concorrente</t>
        </is>
      </c>
      <c r="B1" s="6" t="inlineStr">
        <is>
          <t>URL Pricing Page</t>
        </is>
      </c>
      <c r="C1" s="6" t="inlineStr">
        <is>
          <t>Frequência Check</t>
        </is>
      </c>
      <c r="D1" s="6" t="inlineStr">
        <is>
          <t>Responsável</t>
        </is>
      </c>
      <c r="E1" s="6" t="inlineStr">
        <is>
          <t>Último Check</t>
        </is>
      </c>
      <c r="F1" s="6" t="inlineStr">
        <is>
          <t>Próximo Check</t>
        </is>
      </c>
      <c r="G1" s="6" t="inlineStr">
        <is>
          <t>Status</t>
        </is>
      </c>
    </row>
    <row r="2">
      <c r="A2" t="inlineStr">
        <is>
          <t>RivalCRM</t>
        </is>
      </c>
      <c r="B2" t="inlineStr">
        <is>
          <t>https://rivalcrm.com/pricing</t>
        </is>
      </c>
      <c r="C2" t="inlineStr">
        <is>
          <t>Semanal</t>
        </is>
      </c>
      <c r="D2" t="inlineStr">
        <is>
          <t>João</t>
        </is>
      </c>
      <c r="E2" t="inlineStr">
        <is>
          <t>2026-04-25</t>
        </is>
      </c>
      <c r="F2">
        <f>E2+7</f>
        <v/>
      </c>
      <c r="G2">
        <f>IF(TODAY()&gt;F2,"🔴 Atrasado",IF(TODAY()&gt;=F2-2,"🟡 Em breve","🟢 OK"))</f>
        <v/>
      </c>
    </row>
    <row r="3">
      <c r="A3" t="inlineStr">
        <is>
          <t>PipelineHQ</t>
        </is>
      </c>
      <c r="B3" t="inlineStr">
        <is>
          <t>https://pipelinehq.io/pricing</t>
        </is>
      </c>
      <c r="C3" t="inlineStr">
        <is>
          <t>Semanal</t>
        </is>
      </c>
      <c r="D3" t="inlineStr">
        <is>
          <t>Maria</t>
        </is>
      </c>
      <c r="E3" t="inlineStr">
        <is>
          <t>2026-04-24</t>
        </is>
      </c>
      <c r="F3">
        <f>E3+7</f>
        <v/>
      </c>
      <c r="G3">
        <f>IF(TODAY()&gt;F3,"🔴 Atrasado",IF(TODAY()&gt;=F3-2,"🟡 Em breve","🟢 OK"))</f>
        <v/>
      </c>
    </row>
    <row r="4">
      <c r="A4" t="inlineStr">
        <is>
          <t>DealFlow.io</t>
        </is>
      </c>
      <c r="B4" t="inlineStr">
        <is>
          <t>https://dealflow.io/plans</t>
        </is>
      </c>
      <c r="C4" t="inlineStr">
        <is>
          <t>Quinzenal</t>
        </is>
      </c>
      <c r="D4" t="inlineStr">
        <is>
          <t>João</t>
        </is>
      </c>
      <c r="E4" t="inlineStr">
        <is>
          <t>2026-04-23</t>
        </is>
      </c>
      <c r="F4">
        <f>E4+14</f>
        <v/>
      </c>
      <c r="G4">
        <f>IF(TODAY()&gt;F4,"🔴 Atrasado",IF(TODAY()&gt;=F4-2,"🟡 Em breve","🟢 OK"))</f>
        <v/>
      </c>
    </row>
    <row r="5">
      <c r="A5" t="inlineStr">
        <is>
          <t>CloserApp</t>
        </is>
      </c>
      <c r="B5" t="inlineStr">
        <is>
          <t>https://closerapp.com/pricing</t>
        </is>
      </c>
      <c r="C5" t="inlineStr">
        <is>
          <t>Semanal</t>
        </is>
      </c>
      <c r="D5" t="inlineStr">
        <is>
          <t>Maria</t>
        </is>
      </c>
      <c r="E5" t="inlineStr">
        <is>
          <t>2026-04-22</t>
        </is>
      </c>
      <c r="F5">
        <f>E5+7</f>
        <v/>
      </c>
      <c r="G5">
        <f>IF(TODAY()&gt;F5,"🔴 Atrasado",IF(TODAY()&gt;=F5-2,"🟡 Em breve","🟢 OK"))</f>
        <v/>
      </c>
    </row>
    <row r="6">
      <c r="A6" t="inlineStr">
        <is>
          <t>NovoConcorrente X</t>
        </is>
      </c>
      <c r="B6" t="inlineStr"/>
      <c r="C6" t="inlineStr">
        <is>
          <t>Mensal</t>
        </is>
      </c>
      <c r="D6" t="inlineStr">
        <is>
          <t>João</t>
        </is>
      </c>
      <c r="E6" t="inlineStr"/>
      <c r="F6" t="inlineStr"/>
      <c r="G6" t="inlineStr">
        <is>
          <t>🆕 Configurar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2026-04-28T12:30:24Z</dcterms:created>
  <dcterms:modified xmlns:dcterms="http://purl.org/dc/terms/" xmlns:xsi="http://www.w3.org/2001/XMLSchema-instance" xsi:type="dcterms:W3CDTF">2026-04-28T12:30:24Z</dcterms:modified>
</cp:coreProperties>
</file>